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ayeong\OneDrive\바탕 화면\"/>
    </mc:Choice>
  </mc:AlternateContent>
  <xr:revisionPtr revIDLastSave="0" documentId="13_ncr:1_{FD9903D3-C321-4A02-BB00-47DAAFD6E9F2}" xr6:coauthVersionLast="47" xr6:coauthVersionMax="47" xr10:uidLastSave="{00000000-0000-0000-0000-000000000000}"/>
  <bookViews>
    <workbookView xWindow="-96" yWindow="0" windowWidth="11820" windowHeight="13056" tabRatio="412" activeTab="4" xr2:uid="{00000000-000D-0000-FFFF-FFFF00000000}"/>
  </bookViews>
  <sheets>
    <sheet name="전표_샘플" sheetId="1" r:id="rId1"/>
    <sheet name="분류_기준표_확장" sheetId="2" r:id="rId2"/>
    <sheet name="배출계수" sheetId="3" r:id="rId3"/>
    <sheet name="기대_결과" sheetId="4" r:id="rId4"/>
    <sheet name="월별단가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4" l="1"/>
  <c r="K41" i="4"/>
  <c r="J41" i="4"/>
  <c r="G41" i="4"/>
  <c r="F41" i="4"/>
  <c r="E41" i="4"/>
  <c r="D41" i="4"/>
  <c r="H41" i="4" s="1"/>
  <c r="C41" i="4"/>
  <c r="B41" i="4"/>
  <c r="A41" i="4"/>
  <c r="K40" i="4"/>
  <c r="J40" i="4"/>
  <c r="G40" i="4"/>
  <c r="F40" i="4"/>
  <c r="E40" i="4"/>
  <c r="D40" i="4"/>
  <c r="H40" i="4" s="1"/>
  <c r="I40" i="4" s="1"/>
  <c r="C40" i="4"/>
  <c r="B40" i="4"/>
  <c r="A40" i="4"/>
  <c r="K39" i="4"/>
  <c r="J39" i="4"/>
  <c r="G39" i="4"/>
  <c r="F39" i="4"/>
  <c r="E39" i="4"/>
  <c r="D39" i="4"/>
  <c r="H39" i="4" s="1"/>
  <c r="C39" i="4"/>
  <c r="L39" i="4" s="1"/>
  <c r="B39" i="4"/>
  <c r="A39" i="4"/>
  <c r="K38" i="4"/>
  <c r="J38" i="4"/>
  <c r="L38" i="4" s="1"/>
  <c r="H38" i="4"/>
  <c r="G38" i="4"/>
  <c r="F38" i="4"/>
  <c r="E38" i="4"/>
  <c r="D38" i="4"/>
  <c r="C38" i="4"/>
  <c r="B38" i="4"/>
  <c r="A38" i="4"/>
  <c r="K37" i="4"/>
  <c r="J37" i="4"/>
  <c r="G37" i="4"/>
  <c r="F37" i="4"/>
  <c r="E37" i="4"/>
  <c r="D37" i="4"/>
  <c r="H37" i="4" s="1"/>
  <c r="C37" i="4"/>
  <c r="B37" i="4"/>
  <c r="A37" i="4"/>
  <c r="K36" i="4"/>
  <c r="J36" i="4"/>
  <c r="G36" i="4"/>
  <c r="F36" i="4"/>
  <c r="E36" i="4"/>
  <c r="D36" i="4"/>
  <c r="H36" i="4" s="1"/>
  <c r="I36" i="4" s="1"/>
  <c r="C36" i="4"/>
  <c r="B36" i="4"/>
  <c r="A36" i="4"/>
  <c r="K35" i="4"/>
  <c r="J35" i="4"/>
  <c r="G35" i="4"/>
  <c r="F35" i="4"/>
  <c r="E35" i="4"/>
  <c r="D35" i="4"/>
  <c r="H35" i="4" s="1"/>
  <c r="C35" i="4"/>
  <c r="B35" i="4"/>
  <c r="A35" i="4"/>
  <c r="K34" i="4"/>
  <c r="J34" i="4"/>
  <c r="G34" i="4"/>
  <c r="F34" i="4"/>
  <c r="E34" i="4"/>
  <c r="D34" i="4"/>
  <c r="H34" i="4" s="1"/>
  <c r="I34" i="4" s="1"/>
  <c r="C34" i="4"/>
  <c r="B34" i="4"/>
  <c r="A34" i="4"/>
  <c r="K33" i="4"/>
  <c r="J33" i="4"/>
  <c r="L33" i="4" s="1"/>
  <c r="G33" i="4"/>
  <c r="F33" i="4"/>
  <c r="E33" i="4"/>
  <c r="D33" i="4"/>
  <c r="H33" i="4" s="1"/>
  <c r="C33" i="4"/>
  <c r="B33" i="4"/>
  <c r="A33" i="4"/>
  <c r="K32" i="4"/>
  <c r="J32" i="4"/>
  <c r="L32" i="4" s="1"/>
  <c r="H32" i="4"/>
  <c r="I32" i="4" s="1"/>
  <c r="G32" i="4"/>
  <c r="F32" i="4"/>
  <c r="E32" i="4"/>
  <c r="D32" i="4"/>
  <c r="C32" i="4"/>
  <c r="B32" i="4"/>
  <c r="A32" i="4"/>
  <c r="K31" i="4"/>
  <c r="J31" i="4"/>
  <c r="G31" i="4"/>
  <c r="F31" i="4"/>
  <c r="E31" i="4"/>
  <c r="D31" i="4"/>
  <c r="H31" i="4" s="1"/>
  <c r="C31" i="4"/>
  <c r="B31" i="4"/>
  <c r="A31" i="4"/>
  <c r="K30" i="4"/>
  <c r="J30" i="4"/>
  <c r="G30" i="4"/>
  <c r="F30" i="4"/>
  <c r="E30" i="4"/>
  <c r="D30" i="4"/>
  <c r="H30" i="4" s="1"/>
  <c r="C30" i="4"/>
  <c r="B30" i="4"/>
  <c r="A30" i="4"/>
  <c r="K29" i="4"/>
  <c r="J29" i="4"/>
  <c r="G29" i="4"/>
  <c r="F29" i="4"/>
  <c r="E29" i="4"/>
  <c r="D29" i="4"/>
  <c r="H29" i="4" s="1"/>
  <c r="C29" i="4"/>
  <c r="B29" i="4"/>
  <c r="A29" i="4"/>
  <c r="K28" i="4"/>
  <c r="J28" i="4"/>
  <c r="L28" i="4" s="1"/>
  <c r="H28" i="4"/>
  <c r="G28" i="4"/>
  <c r="F28" i="4"/>
  <c r="E28" i="4"/>
  <c r="D28" i="4"/>
  <c r="C28" i="4"/>
  <c r="B28" i="4"/>
  <c r="A28" i="4"/>
  <c r="K27" i="4"/>
  <c r="J27" i="4"/>
  <c r="G27" i="4"/>
  <c r="F27" i="4"/>
  <c r="E27" i="4"/>
  <c r="D27" i="4"/>
  <c r="C27" i="4"/>
  <c r="B27" i="4"/>
  <c r="A27" i="4"/>
  <c r="K26" i="4"/>
  <c r="J26" i="4"/>
  <c r="L26" i="4" s="1"/>
  <c r="G26" i="4"/>
  <c r="F26" i="4"/>
  <c r="E26" i="4"/>
  <c r="D26" i="4"/>
  <c r="H26" i="4" s="1"/>
  <c r="I26" i="4" s="1"/>
  <c r="C26" i="4"/>
  <c r="B26" i="4"/>
  <c r="A26" i="4"/>
  <c r="K25" i="4"/>
  <c r="J25" i="4"/>
  <c r="G25" i="4"/>
  <c r="F25" i="4"/>
  <c r="E25" i="4"/>
  <c r="D25" i="4"/>
  <c r="C25" i="4"/>
  <c r="B25" i="4"/>
  <c r="A25" i="4"/>
  <c r="K24" i="4"/>
  <c r="J24" i="4"/>
  <c r="G24" i="4"/>
  <c r="F24" i="4"/>
  <c r="E24" i="4"/>
  <c r="D24" i="4"/>
  <c r="H24" i="4" s="1"/>
  <c r="C24" i="4"/>
  <c r="B24" i="4"/>
  <c r="A24" i="4"/>
  <c r="K23" i="4"/>
  <c r="J23" i="4"/>
  <c r="G23" i="4"/>
  <c r="F23" i="4"/>
  <c r="E23" i="4"/>
  <c r="D23" i="4"/>
  <c r="H23" i="4" s="1"/>
  <c r="C23" i="4"/>
  <c r="B23" i="4"/>
  <c r="A23" i="4"/>
  <c r="K22" i="4"/>
  <c r="J22" i="4"/>
  <c r="L22" i="4" s="1"/>
  <c r="H22" i="4"/>
  <c r="G22" i="4"/>
  <c r="F22" i="4"/>
  <c r="E22" i="4"/>
  <c r="D22" i="4"/>
  <c r="C22" i="4"/>
  <c r="B22" i="4"/>
  <c r="A22" i="4"/>
  <c r="K21" i="4"/>
  <c r="J21" i="4"/>
  <c r="G21" i="4"/>
  <c r="F21" i="4"/>
  <c r="E21" i="4"/>
  <c r="D21" i="4"/>
  <c r="C21" i="4"/>
  <c r="B21" i="4"/>
  <c r="A21" i="4"/>
  <c r="K20" i="4"/>
  <c r="J20" i="4"/>
  <c r="G20" i="4"/>
  <c r="F20" i="4"/>
  <c r="E20" i="4"/>
  <c r="D20" i="4"/>
  <c r="H20" i="4" s="1"/>
  <c r="C20" i="4"/>
  <c r="B20" i="4"/>
  <c r="A20" i="4"/>
  <c r="K19" i="4"/>
  <c r="J19" i="4"/>
  <c r="G19" i="4"/>
  <c r="F19" i="4"/>
  <c r="E19" i="4"/>
  <c r="D19" i="4"/>
  <c r="H19" i="4" s="1"/>
  <c r="C19" i="4"/>
  <c r="B19" i="4"/>
  <c r="A19" i="4"/>
  <c r="K18" i="4"/>
  <c r="J18" i="4"/>
  <c r="G18" i="4"/>
  <c r="F18" i="4"/>
  <c r="E18" i="4"/>
  <c r="D18" i="4"/>
  <c r="H18" i="4" s="1"/>
  <c r="C18" i="4"/>
  <c r="B18" i="4"/>
  <c r="A18" i="4"/>
  <c r="K17" i="4"/>
  <c r="J17" i="4"/>
  <c r="G17" i="4"/>
  <c r="F17" i="4"/>
  <c r="E17" i="4"/>
  <c r="D17" i="4"/>
  <c r="C17" i="4"/>
  <c r="B17" i="4"/>
  <c r="A17" i="4"/>
  <c r="K16" i="4"/>
  <c r="J16" i="4"/>
  <c r="H16" i="4"/>
  <c r="G16" i="4"/>
  <c r="F16" i="4"/>
  <c r="E16" i="4"/>
  <c r="D16" i="4"/>
  <c r="C16" i="4"/>
  <c r="B16" i="4"/>
  <c r="A16" i="4"/>
  <c r="L15" i="4"/>
  <c r="K15" i="4"/>
  <c r="J15" i="4"/>
  <c r="G15" i="4"/>
  <c r="F15" i="4"/>
  <c r="E15" i="4"/>
  <c r="D15" i="4"/>
  <c r="H15" i="4" s="1"/>
  <c r="C15" i="4"/>
  <c r="B15" i="4"/>
  <c r="A15" i="4"/>
  <c r="K14" i="4"/>
  <c r="J14" i="4"/>
  <c r="L14" i="4" s="1"/>
  <c r="G14" i="4"/>
  <c r="F14" i="4"/>
  <c r="E14" i="4"/>
  <c r="D14" i="4"/>
  <c r="H14" i="4" s="1"/>
  <c r="C14" i="4"/>
  <c r="B14" i="4"/>
  <c r="A14" i="4"/>
  <c r="K13" i="4"/>
  <c r="J13" i="4"/>
  <c r="G13" i="4"/>
  <c r="F13" i="4"/>
  <c r="E13" i="4"/>
  <c r="D13" i="4"/>
  <c r="C13" i="4"/>
  <c r="B13" i="4"/>
  <c r="A13" i="4"/>
  <c r="K12" i="4"/>
  <c r="J12" i="4"/>
  <c r="L12" i="4" s="1"/>
  <c r="H12" i="4"/>
  <c r="I12" i="4" s="1"/>
  <c r="G12" i="4"/>
  <c r="F12" i="4"/>
  <c r="E12" i="4"/>
  <c r="D12" i="4"/>
  <c r="C12" i="4"/>
  <c r="B12" i="4"/>
  <c r="A12" i="4"/>
  <c r="K11" i="4"/>
  <c r="J11" i="4"/>
  <c r="G11" i="4"/>
  <c r="F11" i="4"/>
  <c r="E11" i="4"/>
  <c r="D11" i="4"/>
  <c r="H11" i="4" s="1"/>
  <c r="C11" i="4"/>
  <c r="B11" i="4"/>
  <c r="A11" i="4"/>
  <c r="K10" i="4"/>
  <c r="J10" i="4"/>
  <c r="G10" i="4"/>
  <c r="F10" i="4"/>
  <c r="E10" i="4"/>
  <c r="D10" i="4"/>
  <c r="H10" i="4" s="1"/>
  <c r="C10" i="4"/>
  <c r="B10" i="4"/>
  <c r="A10" i="4"/>
  <c r="L9" i="4"/>
  <c r="K9" i="4"/>
  <c r="J9" i="4"/>
  <c r="G9" i="4"/>
  <c r="F9" i="4"/>
  <c r="E9" i="4"/>
  <c r="D9" i="4"/>
  <c r="H9" i="4" s="1"/>
  <c r="C9" i="4"/>
  <c r="B9" i="4"/>
  <c r="A9" i="4"/>
  <c r="K8" i="4"/>
  <c r="J8" i="4"/>
  <c r="H8" i="4"/>
  <c r="G8" i="4"/>
  <c r="F8" i="4"/>
  <c r="E8" i="4"/>
  <c r="D8" i="4"/>
  <c r="C8" i="4"/>
  <c r="B8" i="4"/>
  <c r="A8" i="4"/>
  <c r="K7" i="4"/>
  <c r="J7" i="4"/>
  <c r="G7" i="4"/>
  <c r="F7" i="4"/>
  <c r="E7" i="4"/>
  <c r="D7" i="4"/>
  <c r="C7" i="4"/>
  <c r="B7" i="4"/>
  <c r="A7" i="4"/>
  <c r="K6" i="4"/>
  <c r="J6" i="4"/>
  <c r="H6" i="4"/>
  <c r="I6" i="4" s="1"/>
  <c r="G6" i="4"/>
  <c r="F6" i="4"/>
  <c r="E6" i="4"/>
  <c r="D6" i="4"/>
  <c r="C6" i="4"/>
  <c r="B6" i="4"/>
  <c r="A6" i="4"/>
  <c r="L5" i="4"/>
  <c r="K5" i="4"/>
  <c r="J5" i="4"/>
  <c r="G5" i="4"/>
  <c r="F5" i="4"/>
  <c r="E5" i="4"/>
  <c r="D5" i="4"/>
  <c r="H5" i="4" s="1"/>
  <c r="C5" i="4"/>
  <c r="B5" i="4"/>
  <c r="A5" i="4"/>
  <c r="K4" i="4"/>
  <c r="J4" i="4"/>
  <c r="G4" i="4"/>
  <c r="F4" i="4"/>
  <c r="E4" i="4"/>
  <c r="D4" i="4"/>
  <c r="H4" i="4" s="1"/>
  <c r="I4" i="4" s="1"/>
  <c r="C4" i="4"/>
  <c r="B4" i="4"/>
  <c r="A4" i="4"/>
  <c r="K3" i="4"/>
  <c r="J3" i="4"/>
  <c r="G3" i="4"/>
  <c r="F3" i="4"/>
  <c r="E3" i="4"/>
  <c r="D3" i="4"/>
  <c r="C3" i="4"/>
  <c r="B3" i="4"/>
  <c r="K2" i="4"/>
  <c r="J2" i="4"/>
  <c r="H2" i="4"/>
  <c r="G2" i="4"/>
  <c r="F2" i="4"/>
  <c r="E2" i="4"/>
  <c r="D2" i="4"/>
  <c r="C2" i="4"/>
  <c r="B2" i="4"/>
  <c r="A2" i="4"/>
  <c r="I8" i="4" l="1"/>
  <c r="I38" i="4"/>
  <c r="L4" i="4"/>
  <c r="I28" i="4"/>
  <c r="L20" i="4"/>
  <c r="I14" i="4"/>
  <c r="I24" i="4"/>
  <c r="L24" i="4" s="1"/>
  <c r="I31" i="4"/>
  <c r="L31" i="4" s="1"/>
  <c r="I9" i="4"/>
  <c r="I39" i="4"/>
  <c r="I10" i="4"/>
  <c r="I16" i="4"/>
  <c r="I2" i="4"/>
  <c r="L2" i="4" s="1"/>
  <c r="I18" i="4"/>
  <c r="L18" i="4" s="1"/>
  <c r="I5" i="4"/>
  <c r="L8" i="4"/>
  <c r="I19" i="4"/>
  <c r="L19" i="4" s="1"/>
  <c r="I30" i="4"/>
  <c r="L30" i="4" s="1"/>
  <c r="I15" i="4"/>
  <c r="I20" i="4"/>
  <c r="I35" i="4"/>
  <c r="L35" i="4" s="1"/>
  <c r="I22" i="4"/>
  <c r="I29" i="4"/>
  <c r="L29" i="4" s="1"/>
  <c r="L34" i="4"/>
  <c r="I41" i="4"/>
  <c r="L10" i="4"/>
  <c r="I37" i="4"/>
  <c r="L37" i="4" s="1"/>
  <c r="L40" i="4"/>
  <c r="I11" i="4"/>
  <c r="L11" i="4" s="1"/>
  <c r="L6" i="4"/>
  <c r="I33" i="4"/>
  <c r="L36" i="4"/>
  <c r="L41" i="4"/>
  <c r="L16" i="4"/>
  <c r="I23" i="4"/>
  <c r="L23" i="4" s="1"/>
  <c r="H3" i="4"/>
  <c r="I3" i="4" s="1"/>
  <c r="L3" i="4" s="1"/>
  <c r="H7" i="4"/>
  <c r="I7" i="4" s="1"/>
  <c r="L7" i="4" s="1"/>
  <c r="H13" i="4"/>
  <c r="I13" i="4" s="1"/>
  <c r="L13" i="4" s="1"/>
  <c r="H17" i="4"/>
  <c r="I17" i="4" s="1"/>
  <c r="L17" i="4" s="1"/>
  <c r="H21" i="4"/>
  <c r="I21" i="4" s="1"/>
  <c r="L21" i="4" s="1"/>
  <c r="H25" i="4"/>
  <c r="I25" i="4" s="1"/>
  <c r="L25" i="4" s="1"/>
  <c r="H27" i="4"/>
  <c r="I27" i="4" s="1"/>
  <c r="L27" i="4" s="1"/>
</calcChain>
</file>

<file path=xl/sharedStrings.xml><?xml version="1.0" encoding="utf-8"?>
<sst xmlns="http://schemas.openxmlformats.org/spreadsheetml/2006/main" count="1576" uniqueCount="574">
  <si>
    <t>rule_id</t>
  </si>
  <si>
    <t>우선순위</t>
  </si>
  <si>
    <t>대표키워드/문구</t>
  </si>
  <si>
    <t>포함 키워드</t>
  </si>
  <si>
    <t>제외/주의 키워드</t>
  </si>
  <si>
    <t>정답Scope</t>
  </si>
  <si>
    <t>세부분류</t>
  </si>
  <si>
    <t>연료/항목</t>
  </si>
  <si>
    <t>자동처리</t>
  </si>
  <si>
    <t>사람검토필요</t>
  </si>
  <si>
    <t>혼합품목 플래그</t>
  </si>
  <si>
    <t>기본 데이터품질</t>
  </si>
  <si>
    <t>판단기준/근거</t>
  </si>
  <si>
    <t>예시 전표 문구</t>
  </si>
  <si>
    <t>R001</t>
  </si>
  <si>
    <t>한국전력</t>
  </si>
  <si>
    <t>한국전력, 한전, 전기요금, 전력사용료, kWh</t>
  </si>
  <si>
    <t>Scope 2</t>
  </si>
  <si>
    <t>전력사용</t>
  </si>
  <si>
    <t>전기</t>
  </si>
  <si>
    <t>자동분류</t>
  </si>
  <si>
    <t>A</t>
  </si>
  <si>
    <t>전기 구매 사용은 Scope 2</t>
  </si>
  <si>
    <t>한국전력 전기요금 3월분</t>
  </si>
  <si>
    <t>R002</t>
  </si>
  <si>
    <t>공장 전기</t>
  </si>
  <si>
    <t>전기료, 전기요금, 전력, 수전, kWh</t>
  </si>
  <si>
    <t>배터리, 전기공사</t>
  </si>
  <si>
    <t>전기 사용량이 명확하면 Scope 2</t>
  </si>
  <si>
    <t>공장 전력 사용료</t>
  </si>
  <si>
    <t>R003</t>
  </si>
  <si>
    <t>CNC 전기</t>
  </si>
  <si>
    <t>CNC, 가공기, 설비, 전기료</t>
  </si>
  <si>
    <t>수리비, 설치비</t>
  </si>
  <si>
    <t>B</t>
  </si>
  <si>
    <t>설비 가동 전기 사용으로 판단</t>
  </si>
  <si>
    <t>CNC 설비 전기료</t>
  </si>
  <si>
    <t>R004</t>
  </si>
  <si>
    <t>공조 전기</t>
  </si>
  <si>
    <t>공조, 냉난방, 냉방, 전기료</t>
  </si>
  <si>
    <t>공조설비 구매</t>
  </si>
  <si>
    <t>냉난방 전기 사용은 Scope 2</t>
  </si>
  <si>
    <t>공장 냉난방 전기료</t>
  </si>
  <si>
    <t>R005</t>
  </si>
  <si>
    <t>지게차 경유</t>
  </si>
  <si>
    <t>지게차, 경유</t>
  </si>
  <si>
    <t>Scope 1</t>
  </si>
  <si>
    <t>이동연소</t>
  </si>
  <si>
    <t>경유</t>
  </si>
  <si>
    <t>A/B</t>
  </si>
  <si>
    <t>지게차 이동장비 연료</t>
  </si>
  <si>
    <t>지게차 경유 외 1종</t>
  </si>
  <si>
    <t>R006</t>
  </si>
  <si>
    <t>납품차량 경유</t>
  </si>
  <si>
    <t>납품차, 화물차, 차량, 경유, 주유</t>
  </si>
  <si>
    <t>차량 연료는 이동연소</t>
  </si>
  <si>
    <t>납품 차량 경유 주유비</t>
  </si>
  <si>
    <t>R007</t>
  </si>
  <si>
    <t>업무용 차량 휘발유</t>
  </si>
  <si>
    <t>업무용 차량, 승용차, 휘발유, 주유</t>
  </si>
  <si>
    <t>휘발유</t>
  </si>
  <si>
    <t>차량 휘발유는 이동연소</t>
  </si>
  <si>
    <t>R008</t>
  </si>
  <si>
    <t>구내 운반차 연료</t>
  </si>
  <si>
    <t>구내 운반차, 운반차, 연료비</t>
  </si>
  <si>
    <t>경유/휘발유/LPG 불명</t>
  </si>
  <si>
    <t>유류</t>
  </si>
  <si>
    <t>검토후분류</t>
  </si>
  <si>
    <t>C</t>
  </si>
  <si>
    <t>연료 종류 확인 필요</t>
  </si>
  <si>
    <t>구내 운반차 연료비</t>
  </si>
  <si>
    <t>R009</t>
  </si>
  <si>
    <t>LPG 지게차</t>
  </si>
  <si>
    <t>지게차, LPG, 충전</t>
  </si>
  <si>
    <t>LPG</t>
  </si>
  <si>
    <t>LPG 단위가 kg/L/Nm3인지 확인 필요</t>
  </si>
  <si>
    <t>LPG 지게차 충전비</t>
  </si>
  <si>
    <t>R010</t>
  </si>
  <si>
    <t>유류대금</t>
  </si>
  <si>
    <t>유류대, 주유대, 유류비</t>
  </si>
  <si>
    <t>경유/휘발유 불명</t>
  </si>
  <si>
    <t>검토</t>
  </si>
  <si>
    <t>연료종류 불명</t>
  </si>
  <si>
    <t>사람검토</t>
  </si>
  <si>
    <t>연료 종류 불명확</t>
  </si>
  <si>
    <t>현장 유류대금</t>
  </si>
  <si>
    <t>R011</t>
  </si>
  <si>
    <t>도시가스</t>
  </si>
  <si>
    <t>도시가스, 가스요금, 도시가스요금</t>
  </si>
  <si>
    <t>LPG 도시가스 구분 필요</t>
  </si>
  <si>
    <t>고정연소</t>
  </si>
  <si>
    <t>도시가스(LNG)</t>
  </si>
  <si>
    <t>도시가스는 고정연소로 처리</t>
  </si>
  <si>
    <t>도시가스 3월분</t>
  </si>
  <si>
    <t>R012</t>
  </si>
  <si>
    <t>보일러 도시가스</t>
  </si>
  <si>
    <t>보일러, 도시가스</t>
  </si>
  <si>
    <t>고정 설비 연료</t>
  </si>
  <si>
    <t>공장 보일러용 도시가스</t>
  </si>
  <si>
    <t>R013</t>
  </si>
  <si>
    <t>난방유</t>
  </si>
  <si>
    <t>난방유, 동절기 난방, 등유</t>
  </si>
  <si>
    <t>연료 종류 불명</t>
  </si>
  <si>
    <t>등유/난방유</t>
  </si>
  <si>
    <t>난방유 종류 확인 필요</t>
  </si>
  <si>
    <t>동절기 난방유</t>
  </si>
  <si>
    <t>R014</t>
  </si>
  <si>
    <t>공장 보일러 등유</t>
  </si>
  <si>
    <t>보일러, 등유</t>
  </si>
  <si>
    <t>등유</t>
  </si>
  <si>
    <t>고정 설비에서 연료 연소</t>
  </si>
  <si>
    <t>R015</t>
  </si>
  <si>
    <t>열처리로 연료</t>
  </si>
  <si>
    <t>열처리로, 연료</t>
  </si>
  <si>
    <t>연료 불명</t>
  </si>
  <si>
    <t>열처리로 연료비</t>
  </si>
  <si>
    <t>R016</t>
  </si>
  <si>
    <t>건조로 LPG</t>
  </si>
  <si>
    <t>건조로, LPG</t>
  </si>
  <si>
    <t>LPG 사용 단위 확인 필요</t>
  </si>
  <si>
    <t>건조로 LPG 사용료</t>
  </si>
  <si>
    <t>R017</t>
  </si>
  <si>
    <t>비상발전기 경유</t>
  </si>
  <si>
    <t>비상발전기, 발전기, 경유</t>
  </si>
  <si>
    <t>R018</t>
  </si>
  <si>
    <t>공장 가스비</t>
  </si>
  <si>
    <t>가스비, 공장가스</t>
  </si>
  <si>
    <t>도시가스/LPG/산업가스 불명</t>
  </si>
  <si>
    <t>가스종류 불명</t>
  </si>
  <si>
    <t>가스</t>
  </si>
  <si>
    <t>가스 종류 확인 필요</t>
  </si>
  <si>
    <t>R019</t>
  </si>
  <si>
    <t>용접용 가스비</t>
  </si>
  <si>
    <t>용접용 가스, 용접가스</t>
  </si>
  <si>
    <t>산소/아르곤/LPG/아세틸렌 불명</t>
  </si>
  <si>
    <t>산업가스/연료가스 불명</t>
  </si>
  <si>
    <t>연료성 여부 확인 필요</t>
  </si>
  <si>
    <t>공장 용접용 가스비</t>
  </si>
  <si>
    <t>R020</t>
  </si>
  <si>
    <t>산소</t>
  </si>
  <si>
    <t>산소, O2</t>
  </si>
  <si>
    <t>아세틸렌 등 혼합 제외</t>
  </si>
  <si>
    <t>제외</t>
  </si>
  <si>
    <t>산업가스/비연소</t>
  </si>
  <si>
    <t>자동제외</t>
  </si>
  <si>
    <t>E</t>
  </si>
  <si>
    <t>연료가 아니므로 Scope 1/2 산정 제외</t>
  </si>
  <si>
    <t>산소 가스 충전</t>
  </si>
  <si>
    <t>R021</t>
  </si>
  <si>
    <t>아르곤</t>
  </si>
  <si>
    <t>아르곤, Ar</t>
  </si>
  <si>
    <t>비활성 보호가스, 직접 연소 배출 아님</t>
  </si>
  <si>
    <t>아르곤 가스</t>
  </si>
  <si>
    <t>R022</t>
  </si>
  <si>
    <t>질소</t>
  </si>
  <si>
    <t>질소, N2</t>
  </si>
  <si>
    <t>비연소 산업가스</t>
  </si>
  <si>
    <t>질소 가스 충전</t>
  </si>
  <si>
    <t>R023</t>
  </si>
  <si>
    <t>산소·아르곤 외</t>
  </si>
  <si>
    <t>산소, 아르곤, 외</t>
  </si>
  <si>
    <t>외 항목 있음</t>
  </si>
  <si>
    <t>혼합 산업가스</t>
  </si>
  <si>
    <t>미정</t>
  </si>
  <si>
    <t>외 항목에 연료성 가스 포함 가능</t>
  </si>
  <si>
    <t>산소·아르곤 가스 외</t>
  </si>
  <si>
    <t>R024</t>
  </si>
  <si>
    <t>아세틸렌</t>
  </si>
  <si>
    <t>아세틸렌, 절단가스</t>
  </si>
  <si>
    <t>연료성 가스 가능, 계수 확인 필요</t>
  </si>
  <si>
    <t>아세틸렌 절단가스</t>
  </si>
  <si>
    <t>R025</t>
  </si>
  <si>
    <t>LPG 절단가스</t>
  </si>
  <si>
    <t>LPG, 절단가스</t>
  </si>
  <si>
    <t>연료성 가스이나 단위 확인 필요</t>
  </si>
  <si>
    <t>R026</t>
  </si>
  <si>
    <t>산업용 가스</t>
  </si>
  <si>
    <t>산업용 가스, 공업용 가스</t>
  </si>
  <si>
    <t>종류 불명</t>
  </si>
  <si>
    <t>산업가스 불명</t>
  </si>
  <si>
    <t>가스 종류별로 처리 다름</t>
  </si>
  <si>
    <t>산업용 가스 구입</t>
  </si>
  <si>
    <t>R027</t>
  </si>
  <si>
    <t>가스 외 1종</t>
  </si>
  <si>
    <t>가스, 외 1종</t>
  </si>
  <si>
    <t>혼합품목</t>
  </si>
  <si>
    <t>혼합품목이고 연료성 여부 불명확</t>
  </si>
  <si>
    <t>용접용 가스 외 1종</t>
  </si>
  <si>
    <t>R028</t>
  </si>
  <si>
    <t>경유 외 1종</t>
  </si>
  <si>
    <t>경유, 외 1종</t>
  </si>
  <si>
    <t>주 품목 명확</t>
  </si>
  <si>
    <t>MVP는 주 품목 100% 귀속</t>
  </si>
  <si>
    <t>R029</t>
  </si>
  <si>
    <t>전기요금 외</t>
  </si>
  <si>
    <t>전기요금, 외</t>
  </si>
  <si>
    <t>주 품목 전기요금 100% 귀속</t>
  </si>
  <si>
    <t>공장 전기요금 외</t>
  </si>
  <si>
    <t>R030</t>
  </si>
  <si>
    <t>설비 전기공사</t>
  </si>
  <si>
    <t>전기공사, 배선, 수전설비</t>
  </si>
  <si>
    <t>사용량 아님</t>
  </si>
  <si>
    <t>설비/공사비</t>
  </si>
  <si>
    <t>없음</t>
  </si>
  <si>
    <t>전기 사용량이 아니라 공사비</t>
  </si>
  <si>
    <t>수전설비 전기공사</t>
  </si>
  <si>
    <t>R031</t>
  </si>
  <si>
    <t>고효율 설비</t>
  </si>
  <si>
    <t>고효율, 인버터, 공조설비, 설비구매</t>
  </si>
  <si>
    <t>제외/참고</t>
  </si>
  <si>
    <t>감축투자 후보</t>
  </si>
  <si>
    <t>설비투자</t>
  </si>
  <si>
    <t>참고분류</t>
  </si>
  <si>
    <t>배출량 계산 대상은 아니나 금융추천 후보</t>
  </si>
  <si>
    <t>고효율 공조설비 구매</t>
  </si>
  <si>
    <t>R032</t>
  </si>
  <si>
    <t>CNC 장비 구매</t>
  </si>
  <si>
    <t>CNC, 장비구매, 설비도입</t>
  </si>
  <si>
    <t>전기료 아님</t>
  </si>
  <si>
    <t>구매비는 Scope1/2 활동자료 아님</t>
  </si>
  <si>
    <t>R033</t>
  </si>
  <si>
    <t>프레스기 수리</t>
  </si>
  <si>
    <t>수리비, 프레스기, 정비</t>
  </si>
  <si>
    <t>수리비</t>
  </si>
  <si>
    <t>직접 에너지 사용 아님</t>
  </si>
  <si>
    <t>프레스기 수리비</t>
  </si>
  <si>
    <t>R034</t>
  </si>
  <si>
    <t>공구·소모품</t>
  </si>
  <si>
    <t>공구, 소모품, 절삭공구</t>
  </si>
  <si>
    <t>일반비용</t>
  </si>
  <si>
    <t>MVP Scope1/2 제외</t>
  </si>
  <si>
    <t>절삭공구 구매</t>
  </si>
  <si>
    <t>R035</t>
  </si>
  <si>
    <t>사무용품</t>
  </si>
  <si>
    <t>사무용품, 문구, 복사용지</t>
  </si>
  <si>
    <t>사무용품 구입</t>
  </si>
  <si>
    <t>R036</t>
  </si>
  <si>
    <t>식대</t>
  </si>
  <si>
    <t>식대, 간식, 회식</t>
  </si>
  <si>
    <t>탄소 계산 대상 아님</t>
  </si>
  <si>
    <t>직원 식대</t>
  </si>
  <si>
    <t>R037</t>
  </si>
  <si>
    <t>금속 원재료</t>
  </si>
  <si>
    <t>철판, 알루미늄, 스테인리스, 원재료</t>
  </si>
  <si>
    <t>제외/Scope3 후보</t>
  </si>
  <si>
    <t>원재료</t>
  </si>
  <si>
    <t>금속</t>
  </si>
  <si>
    <t>MVP는 Scope1/2만 산정</t>
  </si>
  <si>
    <t>금속 원재료 매입</t>
  </si>
  <si>
    <t>R038</t>
  </si>
  <si>
    <t>도금/표면처리 외주</t>
  </si>
  <si>
    <t>도금, 표면처리, 외주가공</t>
  </si>
  <si>
    <t>외주가공</t>
  </si>
  <si>
    <t>외주 공정은 MVP 제외</t>
  </si>
  <si>
    <t>부품 표면처리 외주비</t>
  </si>
  <si>
    <t>R039</t>
  </si>
  <si>
    <t>폐기물 처리</t>
  </si>
  <si>
    <t>폐기물, 폐수, 처리비</t>
  </si>
  <si>
    <t>폐기물</t>
  </si>
  <si>
    <t>폐기물 처리비</t>
  </si>
  <si>
    <t>R040</t>
  </si>
  <si>
    <t>운송비</t>
  </si>
  <si>
    <t>운송비, 택배, 화물운송</t>
  </si>
  <si>
    <t>자사 차량 연료 아님</t>
  </si>
  <si>
    <t>운송서비스</t>
  </si>
  <si>
    <t>외부 운송서비스는 Scope3 후보</t>
  </si>
  <si>
    <t>화물 운송비</t>
  </si>
  <si>
    <t>R041</t>
  </si>
  <si>
    <t>전기지게차 충전</t>
  </si>
  <si>
    <t>전기지게차, 충전전력</t>
  </si>
  <si>
    <t>전기 충전 사용은 전력사용</t>
  </si>
  <si>
    <t>전기지게차 충전 전력</t>
  </si>
  <si>
    <t>R042</t>
  </si>
  <si>
    <t>배터리 충전</t>
  </si>
  <si>
    <t>배터리 충전, 충전요금</t>
  </si>
  <si>
    <t>사용 주체 확인 필요</t>
  </si>
  <si>
    <t>회사 전기 사용인지 외부 서비스인지 확인</t>
  </si>
  <si>
    <t>장비 배터리 충전요금</t>
  </si>
  <si>
    <t>R043</t>
  </si>
  <si>
    <t>생산라인 전력</t>
  </si>
  <si>
    <t>생산라인, 전력, kWh</t>
  </si>
  <si>
    <t>kWh 활동자료가 있으면 정확도 높음</t>
  </si>
  <si>
    <t>생산라인 전력 사용량</t>
  </si>
  <si>
    <t>R044</t>
  </si>
  <si>
    <t>압축공기 전력</t>
  </si>
  <si>
    <t>컴프레서, 압축기, 전력</t>
  </si>
  <si>
    <t>수리비 제외</t>
  </si>
  <si>
    <t>컴프레서 가동 전력</t>
  </si>
  <si>
    <t>컴프레서 전기요금</t>
  </si>
  <si>
    <t>R045</t>
  </si>
  <si>
    <t>압축기 수리</t>
  </si>
  <si>
    <t>컴프레서, 수리비</t>
  </si>
  <si>
    <t>전기요금 아님</t>
  </si>
  <si>
    <t>수리비는 활동자료 아님</t>
  </si>
  <si>
    <t>컴프레서 수리비</t>
  </si>
  <si>
    <t>R046</t>
  </si>
  <si>
    <t>전력 피크 요금</t>
  </si>
  <si>
    <t>최대수요, 피크, 전력요금</t>
  </si>
  <si>
    <t>전력요금 항목</t>
  </si>
  <si>
    <t>전력 피크요금</t>
  </si>
  <si>
    <t>R047</t>
  </si>
  <si>
    <t>수도요금</t>
  </si>
  <si>
    <t>상수도, 수도요금</t>
  </si>
  <si>
    <t>공장 수도요금</t>
  </si>
  <si>
    <t>R048</t>
  </si>
  <si>
    <t>스팀 사용료</t>
  </si>
  <si>
    <t>스팀, 열사용료</t>
  </si>
  <si>
    <t>외부 구매열 가능</t>
  </si>
  <si>
    <t>구매열/스팀</t>
  </si>
  <si>
    <t>스팀</t>
  </si>
  <si>
    <t>Scope2 구매열 가능하나 계수 필요</t>
  </si>
  <si>
    <t>공장 스팀 사용료</t>
  </si>
  <si>
    <t>R049</t>
  </si>
  <si>
    <t>냉각수/냉매</t>
  </si>
  <si>
    <t>냉매, 냉각수, 냉동기</t>
  </si>
  <si>
    <t>냉매 누출 여부 불명</t>
  </si>
  <si>
    <t>냉매/기타</t>
  </si>
  <si>
    <t>냉매</t>
  </si>
  <si>
    <t>냉매는 별도 Scope1 fugitive 가능</t>
  </si>
  <si>
    <t>냉동기 냉매 충전</t>
  </si>
  <si>
    <t>R050</t>
  </si>
  <si>
    <t>기타 공장비</t>
  </si>
  <si>
    <t>공장관리비, 기타공장비</t>
  </si>
  <si>
    <t>내용 불명</t>
  </si>
  <si>
    <t>내용불명</t>
  </si>
  <si>
    <t>세부 품목 확인 필요</t>
  </si>
  <si>
    <t>공장 관리비 일괄</t>
  </si>
  <si>
    <t>전표ID</t>
  </si>
  <si>
    <t>기업ID</t>
  </si>
  <si>
    <t>날짜</t>
  </si>
  <si>
    <t>거래처</t>
  </si>
  <si>
    <t>품목명</t>
  </si>
  <si>
    <t>공급가액</t>
  </si>
  <si>
    <t>부가세</t>
  </si>
  <si>
    <t>합계금액</t>
  </si>
  <si>
    <t>수량</t>
  </si>
  <si>
    <t>단위</t>
  </si>
  <si>
    <t>정답분류</t>
  </si>
  <si>
    <t>정답연료</t>
  </si>
  <si>
    <t>데이터품질</t>
  </si>
  <si>
    <t>배분규칙</t>
  </si>
  <si>
    <t>근거</t>
  </si>
  <si>
    <t>개발메모</t>
  </si>
  <si>
    <t>I001</t>
  </si>
  <si>
    <t>C001</t>
  </si>
  <si>
    <t>구미에너지</t>
  </si>
  <si>
    <t>L</t>
  </si>
  <si>
    <t>주품목 100%</t>
  </si>
  <si>
    <t>FALSE</t>
  </si>
  <si>
    <t>지게차+경유가 명시되어 직접배출</t>
  </si>
  <si>
    <t>명확 케이스</t>
  </si>
  <si>
    <t>I002</t>
  </si>
  <si>
    <t>공장 전기요금</t>
  </si>
  <si>
    <t>kWh</t>
  </si>
  <si>
    <t>해당없음</t>
  </si>
  <si>
    <t>한전 전기요금은 Scope 2</t>
  </si>
  <si>
    <t>I003</t>
  </si>
  <si>
    <t>대구문구</t>
  </si>
  <si>
    <t>탄소 산정 대상 아님</t>
  </si>
  <si>
    <t>제외 케이스</t>
  </si>
  <si>
    <t>I004</t>
  </si>
  <si>
    <t>구미가스</t>
  </si>
  <si>
    <t>HITL</t>
  </si>
  <si>
    <t>TRUE</t>
  </si>
  <si>
    <t>가스 종류가 불명확해 사람검토 필요</t>
  </si>
  <si>
    <t>애매 케이스</t>
  </si>
  <si>
    <t>I005</t>
  </si>
  <si>
    <t>대경오일</t>
  </si>
  <si>
    <t>납품차량 경유 주유</t>
  </si>
  <si>
    <t>납품차량+경유 명시</t>
  </si>
  <si>
    <t>I006</t>
  </si>
  <si>
    <t>4월 전력 사용료</t>
  </si>
  <si>
    <t>전력 사용료는 Scope 2</t>
  </si>
  <si>
    <t>I007</t>
  </si>
  <si>
    <t>구미도시가스</t>
  </si>
  <si>
    <t>도시가스 요금</t>
  </si>
  <si>
    <t>m3</t>
  </si>
  <si>
    <t>도시가스 사용량 존재</t>
  </si>
  <si>
    <t>I008</t>
  </si>
  <si>
    <t>성서산업상사</t>
  </si>
  <si>
    <t>공장 소모품 외 2종</t>
  </si>
  <si>
    <t>품목이 모호하고 탄소 항목 여부 불확실</t>
  </si>
  <si>
    <t>애매/제외</t>
  </si>
  <si>
    <t>I009</t>
  </si>
  <si>
    <t>C002</t>
  </si>
  <si>
    <t>경북LPG</t>
  </si>
  <si>
    <t>LPG 연료비</t>
  </si>
  <si>
    <t>kg</t>
  </si>
  <si>
    <t>I010</t>
  </si>
  <si>
    <t>전기료</t>
  </si>
  <si>
    <t>전기료 키워드</t>
  </si>
  <si>
    <t>I011</t>
  </si>
  <si>
    <t>대경유류</t>
  </si>
  <si>
    <t>경유/휘발유 구분 불가</t>
  </si>
  <si>
    <t>I012</t>
  </si>
  <si>
    <t>경유 명시</t>
  </si>
  <si>
    <t>I013</t>
  </si>
  <si>
    <t>동양가스</t>
  </si>
  <si>
    <t>산소/아르곤 가스</t>
  </si>
  <si>
    <t>산업가스</t>
  </si>
  <si>
    <t>공정용 가스이나 배출계수 적용 여부 검토 필요</t>
  </si>
  <si>
    <t>I014</t>
  </si>
  <si>
    <t>복사용지 및 토너</t>
  </si>
  <si>
    <t>일반 사무비용</t>
  </si>
  <si>
    <t>I015</t>
  </si>
  <si>
    <t>공장 전기료</t>
  </si>
  <si>
    <t>전기료는 Scope 2</t>
  </si>
  <si>
    <t>I016</t>
  </si>
  <si>
    <t>C003</t>
  </si>
  <si>
    <t>보일러+도시가스 명시</t>
  </si>
  <si>
    <t>I017</t>
  </si>
  <si>
    <t>전력 사용료</t>
  </si>
  <si>
    <t>I018</t>
  </si>
  <si>
    <t>포항오일</t>
  </si>
  <si>
    <t>지게차 경유 명시</t>
  </si>
  <si>
    <t>I019</t>
  </si>
  <si>
    <t>구내식당</t>
  </si>
  <si>
    <t>야근 식대</t>
  </si>
  <si>
    <t>식대는 MVP 제외</t>
  </si>
  <si>
    <t>I020</t>
  </si>
  <si>
    <t>공장 난방 LPG</t>
  </si>
  <si>
    <t>I021</t>
  </si>
  <si>
    <t>대경정비</t>
  </si>
  <si>
    <t>지게차 정비비</t>
  </si>
  <si>
    <t>정비비는 연료 사용량 아님</t>
  </si>
  <si>
    <t>I022</t>
  </si>
  <si>
    <t>전기요금</t>
  </si>
  <si>
    <t>전기요금 키워드</t>
  </si>
  <si>
    <t>I023</t>
  </si>
  <si>
    <t>C004</t>
  </si>
  <si>
    <t>경유가 주품목으로 명확</t>
  </si>
  <si>
    <t>혼합 명확</t>
  </si>
  <si>
    <t>I024</t>
  </si>
  <si>
    <t>3월 전기요금</t>
  </si>
  <si>
    <t>I025</t>
  </si>
  <si>
    <t>대구철물</t>
  </si>
  <si>
    <t>절삭유 및 소모품</t>
  </si>
  <si>
    <t>공정소모품</t>
  </si>
  <si>
    <t>절삭유는 배출 산정 포함 여부 판단 필요</t>
  </si>
  <si>
    <t>I026</t>
  </si>
  <si>
    <t>도시가스 명시</t>
  </si>
  <si>
    <t>I027</t>
  </si>
  <si>
    <t>사무용 의자</t>
  </si>
  <si>
    <t>I028</t>
  </si>
  <si>
    <t>공장 전력료</t>
  </si>
  <si>
    <t>전력료는 Scope 2</t>
  </si>
  <si>
    <t>I029</t>
  </si>
  <si>
    <t>C005</t>
  </si>
  <si>
    <t>화물차 경유</t>
  </si>
  <si>
    <t>화물차 경유 명시</t>
  </si>
  <si>
    <t>I030</t>
  </si>
  <si>
    <t>전기 사용료</t>
  </si>
  <si>
    <t>I031</t>
  </si>
  <si>
    <t>가스 종류 불명확</t>
  </si>
  <si>
    <t>I032</t>
  </si>
  <si>
    <t>식대 제외</t>
  </si>
  <si>
    <t>I033</t>
  </si>
  <si>
    <t>I034</t>
  </si>
  <si>
    <t>휘발유 명시</t>
  </si>
  <si>
    <t>I035</t>
  </si>
  <si>
    <t>C006</t>
  </si>
  <si>
    <t>I036</t>
  </si>
  <si>
    <t>I037</t>
  </si>
  <si>
    <t>기타 유류대</t>
  </si>
  <si>
    <t>연료 종류가 불명확</t>
  </si>
  <si>
    <t>I038</t>
  </si>
  <si>
    <t>문구류</t>
  </si>
  <si>
    <t>문구류 제외</t>
  </si>
  <si>
    <t>I039</t>
  </si>
  <si>
    <t>공장 전기 사용료</t>
  </si>
  <si>
    <t>I040</t>
  </si>
  <si>
    <t>도시가스 사용량</t>
  </si>
  <si>
    <t>연료/에너지</t>
  </si>
  <si>
    <t>Scope</t>
  </si>
  <si>
    <t>배출계수_kgCO2e_per_unit</t>
  </si>
  <si>
    <t>월별_환산단가_공급가액</t>
  </si>
  <si>
    <t>단가단위</t>
  </si>
  <si>
    <t>출처URL</t>
  </si>
  <si>
    <t>비고</t>
  </si>
  <si>
    <t>원/L</t>
  </si>
  <si>
    <t>https://www.gir.go.kr</t>
  </si>
  <si>
    <t>원/m3</t>
  </si>
  <si>
    <t>원/kg</t>
  </si>
  <si>
    <t>원/kWh</t>
  </si>
  <si>
    <t>https://www.kpx.or.kr</t>
  </si>
  <si>
    <t>HITL 필요</t>
  </si>
  <si>
    <t>산정 제외</t>
  </si>
  <si>
    <t>결과Scope</t>
  </si>
  <si>
    <t>결과연료</t>
  </si>
  <si>
    <t>활동량</t>
  </si>
  <si>
    <t>배출계수</t>
  </si>
  <si>
    <t>예상배출량_kgCO2e</t>
  </si>
  <si>
    <t>결과근거</t>
  </si>
  <si>
    <t>뱉어야 하는 핵심 결과</t>
  </si>
  <si>
    <t>연료</t>
  </si>
  <si>
    <t>연</t>
  </si>
  <si>
    <t>월</t>
  </si>
  <si>
    <t>단가</t>
  </si>
  <si>
    <t>2024 승인 전력배출계수 소비단 CO₂eq 배출계수 사용. 원자료 단위 0.4541 tCO₂eq/MWh를 kgCO₂eq/kWh로 환산 시 동일값 적용</t>
  </si>
  <si>
    <t>에너지법 시행규칙 별표 ‘연료별 국가 고유 발열량’의 휘발유 순발열량 30.3 MJ/L와 이산화탄소 배출계수표의 휘발유 73,300 kgCO₂/TJ를 적용하여 환산</t>
    <phoneticPr fontId="3" type="noConversion"/>
  </si>
  <si>
    <t>에너지법 시행규칙 별표 ‘연료별 국가 고유 발열량’의 경유 순발열량 35.3 MJ/L와 이산화탄소 배출계수표의 경유 74,100 kgCO₂/TJ를 적용하여 환산</t>
    <phoneticPr fontId="3" type="noConversion"/>
  </si>
  <si>
    <t>에너지법 시행규칙 별표 ‘연료별 국가 고유 발열량’의 도시가스(LNG) 순발열량 39.4 MJ/Nm³와 이산화탄소 배출계수표의 LNG 56,100 kgCO₂/TJ를 적용하여 에너지법 시행규칙 별표 ‘연료별 국가 고유 발열량’의 도시가스(LNG) 순발열량 39.4 MJ/Nm³와 이산화탄소 배출계수표의 LNG 56,100 kgCO₂/TJ를 적용하여 환산</t>
    <phoneticPr fontId="3" type="noConversion"/>
  </si>
  <si>
    <t>에너지법 시행규칙 별표 ‘연료별 국가 고유 발열량’의 도시가스(LPG) 순발열량 57.7 MJ/Nm³와 이산화탄소 배출계수표의 LPG 64,500 kgCO₂/TJ를 적용하여 환산</t>
    <phoneticPr fontId="3" type="noConversion"/>
  </si>
  <si>
    <t>C</t>
    <phoneticPr fontId="3" type="noConversion"/>
  </si>
  <si>
    <t>LPG는 kg/L/Nm3 단위 확인 필요</t>
    <phoneticPr fontId="3" type="noConversion"/>
  </si>
  <si>
    <t>활동량단위</t>
  </si>
  <si>
    <t>부가세포함여부</t>
  </si>
  <si>
    <t>확정여부</t>
  </si>
  <si>
    <t>출처/비고</t>
  </si>
  <si>
    <t>확인필요</t>
  </si>
  <si>
    <r>
      <t>원</t>
    </r>
    <r>
      <rPr>
        <sz val="11"/>
        <rFont val="Carlito"/>
      </rPr>
      <t>/m3</t>
    </r>
  </si>
  <si>
    <t>부가세제외</t>
  </si>
  <si>
    <t>공식환산</t>
  </si>
  <si>
    <t>업로드 파일 '주유소_평균판매가격_제품별.csv'의 보통휘발유 월평균 판매가격 1709.29원/L ÷ 1.1</t>
  </si>
  <si>
    <t>업로드 파일 '주유소_평균판매가격_제품별.csv'의 보통휘발유 월평균 판매가격 1728.26원/L ÷ 1.1</t>
  </si>
  <si>
    <t>업로드 파일 '주유소_평균판매가격_제품별.csv'의 보통휘발유 월평균 판매가격 1688.93원/L ÷ 1.1</t>
  </si>
  <si>
    <t>업로드 파일 '주유소_평균판매가격_제품별.csv'의 보통휘발유 월평균 판매가격 1646.69원/L ÷ 1.1</t>
  </si>
  <si>
    <t>업로드 파일 '주유소_평균판매가격_제품별.csv'의 보통휘발유 월평균 판매가격 1636.45원/L ÷ 1.1</t>
  </si>
  <si>
    <t>업로드 파일 '주유소_평균판매가격_제품별.csv'의 보통휘발유 월평균 판매가격 1642.08원/L ÷ 1.1</t>
  </si>
  <si>
    <t>업로드 파일 '주유소_평균판매가격_제품별.csv'의 보통휘발유 월평균 판매가격 1667.58원/L ÷ 1.1</t>
  </si>
  <si>
    <t>업로드 파일 '주유소_평균판매가격_제품별.csv'의 보통휘발유 월평균 판매가격 1665.91원/L ÷ 1.1</t>
  </si>
  <si>
    <t>업로드 파일 '주유소_평균판매가격_제품별.csv'의 보통휘발유 월평균 판매가격 1659.88원/L ÷ 1.1</t>
  </si>
  <si>
    <t>업로드 파일 '주유소_평균판매가격_제품별.csv'의 보통휘발유 월평균 판매가격 1663.22원/L ÷ 1.1</t>
  </si>
  <si>
    <t>업로드 파일 '주유소_평균판매가격_제품별.csv'의 보통휘발유 월평균 판매가격 1718.14원/L ÷ 1.1</t>
  </si>
  <si>
    <t>업로드 파일 '주유소_평균판매가격_제품별.csv'의 보통휘발유 월평균 판매가격 1740.20원/L ÷ 1.1</t>
  </si>
  <si>
    <t>업로드 파일 '주유소_평균판매가격_제품별.csv'의 자동차용경유 월평균 판매가격 1563.53원/L ÷ 1.1</t>
  </si>
  <si>
    <t>업로드 파일 '주유소_평균판매가격_제품별.csv'의 자동차용경유 월평균 판매가격 1594.01원/L ÷ 1.1</t>
  </si>
  <si>
    <t>업로드 파일 '주유소_평균판매가격_제품별.csv'의 자동차용경유 월평균 판매가격 1555.03원/L ÷ 1.1</t>
  </si>
  <si>
    <t>업로드 파일 '주유소_평균판매가격_제품별.csv'의 자동차용경유 월평균 판매가격 1513.21원/L ÷ 1.1</t>
  </si>
  <si>
    <t>업로드 파일 '주유소_평균판매가격_제품별.csv'의 자동차용경유 월평균 판매가격 1502.15원/L ÷ 1.1</t>
  </si>
  <si>
    <t>업로드 파일 '주유소_평균판매가격_제품별.csv'의 자동차용경유 월평균 판매가격 1505.43원/L ÷ 1.1</t>
  </si>
  <si>
    <t>업로드 파일 '주유소_평균판매가격_제품별.csv'의 자동차용경유 월평균 판매가격 1531.55원/L ÷ 1.1</t>
  </si>
  <si>
    <t>업로드 파일 '주유소_평균판매가격_제품별.csv'의 자동차용경유 월평균 판매가격 1535.74원/L ÷ 1.1</t>
  </si>
  <si>
    <t>업로드 파일 '주유소_평균판매가격_제품별.csv'의 자동차용경유 월평균 판매가격 1530.67원/L ÷ 1.1</t>
  </si>
  <si>
    <t>업로드 파일 '주유소_평균판매가격_제품별.csv'의 자동차용경유 월평균 판매가격 1536.82원/L ÷ 1.1</t>
  </si>
  <si>
    <t>업로드 파일 '주유소_평균판매가격_제품별.csv'의 자동차용경유 월평균 판매가격 1619.10원/L ÷ 1.1</t>
  </si>
  <si>
    <t>업로드 파일 '주유소_평균판매가격_제품별.csv'의 자동차용경유 월평균 판매가격 1650.49원/L ÷ 1.1</t>
  </si>
  <si>
    <t>LPG(프로판)</t>
  </si>
  <si>
    <t>업로드 파일 'LPG충전소_제품별_평균판매가격.csv'의 일반프로판 월평균 판매가격 1559.62원/kg ÷ 1.1</t>
  </si>
  <si>
    <t>업로드 파일 'LPG충전소_제품별_평균판매가격.csv'의 일반프로판 월평균 판매가격 1585.13원/kg ÷ 1.1</t>
  </si>
  <si>
    <t>업로드 파일 'LPG충전소_제품별_평균판매가격.csv'의 일반프로판 월평균 판매가격 1586.57원/kg ÷ 1.1</t>
  </si>
  <si>
    <t>업로드 파일 'LPG충전소_제품별_평균판매가격.csv'의 일반프로판 월평균 판매가격 1588.13원/kg ÷ 1.1</t>
  </si>
  <si>
    <t>업로드 파일 'LPG충전소_제품별_평균판매가격.csv'의 일반프로판 월평균 판매가격 1560.29원/kg ÷ 1.1</t>
  </si>
  <si>
    <t>업로드 파일 'LPG충전소_제품별_평균판매가격.csv'의 일반프로판 월평균 판매가격 1521.00원/kg ÷ 1.1</t>
  </si>
  <si>
    <t>업로드 파일 'LPG충전소_제품별_평균판매가격.csv'의 일반프로판 월평균 판매가격 1494.05원/kg ÷ 1.1</t>
  </si>
  <si>
    <t>업로드 파일 'LPG충전소_제품별_평균판매가격.csv'의 일반프로판 월평균 판매가격 1427.13원/kg ÷ 1.1</t>
  </si>
  <si>
    <t>업로드 파일 'LPG충전소_제품별_평균판매가격.csv'의 일반프로판 월평균 판매가격 1429.31원/kg ÷ 1.1</t>
  </si>
  <si>
    <t>업로드 파일 'LPG충전소_제품별_평균판매가격.csv'의 일반프로판 월평균 판매가격 1414.12원/kg ÷ 1.1</t>
  </si>
  <si>
    <t>업로드 파일 'LPG충전소_제품별_평균판매가격.csv'의 일반프로판 월평균 판매가격 1417.76원/kg ÷ 1.1</t>
  </si>
  <si>
    <r>
      <t>LPG(</t>
    </r>
    <r>
      <rPr>
        <sz val="11"/>
        <rFont val="돋움"/>
        <family val="3"/>
        <charset val="129"/>
      </rPr>
      <t>부탄</t>
    </r>
    <r>
      <rPr>
        <sz val="11"/>
        <rFont val="Carlito"/>
      </rPr>
      <t>)</t>
    </r>
  </si>
  <si>
    <t>업로드 파일 'LPG충전소_제품별_평균판매가격.csv'의 일반부탄 월평균 판매가격 1686.52원/kg ÷ 1.1</t>
  </si>
  <si>
    <t>업로드 파일 'LPG충전소_제품별_평균판매가격.csv'의 일반부탄 월평균 판매가격 1707.82원/kg ÷ 1.1</t>
  </si>
  <si>
    <t>업로드 파일 'LPG충전소_제품별_평균판매가격.csv'의 일반부탄 월평균 판매가격 1703.80원/kg ÷ 1.1</t>
  </si>
  <si>
    <t>업로드 파일 'LPG충전소_제품별_평균판매가격.csv'의 일반부탄 월평균 판매가격 1704.77원/kg ÷ 1.1</t>
  </si>
  <si>
    <t>업로드 파일 'LPG충전소_제품별_평균판매가격.csv'의 일반부탄 월평균 판매가격 1715.10원/kg ÷ 1.1</t>
  </si>
  <si>
    <t>업로드 파일 'LPG충전소_제품별_평균판매가격.csv'의 일반부탄 월평균 판매가격 1683.75원/kg ÷ 1.1</t>
  </si>
  <si>
    <t>업로드 파일 'LPG충전소_제품별_평균판매가격.csv'의 일반부탄 월평균 판매가격 1646.49원/kg ÷ 1.1</t>
  </si>
  <si>
    <t>업로드 파일 'LPG충전소_제품별_평균판매가격.csv'의 일반부탄 월평균 판매가격 1617.74원/kg ÷ 1.1</t>
  </si>
  <si>
    <t>업로드 파일 'LPG충전소_제품별_평균판매가격.csv'의 일반부탄 월평균 판매가격 1555.58원/kg ÷ 1.1</t>
  </si>
  <si>
    <t>업로드 파일 'LPG충전소_제품별_평균판매가격.csv'의 일반부탄 월평균 판매가격 1558.51원/kg ÷ 1.1</t>
  </si>
  <si>
    <t>업로드 파일 'LPG충전소_제품별_평균판매가격.csv'의 일반부탄 월평균 판매가격 1561.37원/kg ÷ 1.1</t>
  </si>
  <si>
    <t>업로드 파일 'LPG충전소_제품별_평균판매가격.csv'의 일반부탄 월평균 판매가격 1563.14원/kg ÷ 1.1</t>
  </si>
  <si>
    <t>사용량우선</t>
  </si>
  <si>
    <t>전기는 실제 고지서의 kWh 사용량을 우선 사용. 금액만 있는 경우에는 사람검토 또는 보조단가 필요</t>
  </si>
  <si>
    <r>
      <t>도시가스는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지역</t>
    </r>
    <r>
      <rPr>
        <sz val="11"/>
        <rFont val="Carlito"/>
      </rPr>
      <t>·</t>
    </r>
    <r>
      <rPr>
        <sz val="11"/>
        <rFont val="돋움"/>
        <family val="3"/>
        <charset val="129"/>
      </rPr>
      <t>용도별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요금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차이가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있어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실제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고지서의</t>
    </r>
    <r>
      <rPr>
        <sz val="11"/>
        <rFont val="Carlito"/>
      </rPr>
      <t xml:space="preserve"> m3 </t>
    </r>
    <r>
      <rPr>
        <sz val="11"/>
        <rFont val="돋움"/>
        <family val="3"/>
        <charset val="129"/>
      </rPr>
      <t>사용량을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우선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사용</t>
    </r>
  </si>
  <si>
    <t>고정연소</t>
    <phoneticPr fontId="3" type="noConversion"/>
  </si>
  <si>
    <t>I041</t>
  </si>
  <si>
    <r>
      <t>경유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주유비</t>
    </r>
  </si>
  <si>
    <t>월별단가환산</t>
  </si>
  <si>
    <r>
      <t>경유는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명시되어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있으나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수량이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없어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월별단가로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활동량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추정</t>
    </r>
  </si>
  <si>
    <r>
      <t>월별단가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테스트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케이스</t>
    </r>
  </si>
  <si>
    <r>
      <t>경유는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명시되어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있으나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수량이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없어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월별단가로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활동량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추정</t>
    </r>
  </si>
  <si>
    <r>
      <t xml:space="preserve">Scope 1 / </t>
    </r>
    <r>
      <rPr>
        <sz val="11"/>
        <rFont val="돋움"/>
        <family val="3"/>
        <charset val="129"/>
      </rPr>
      <t>경유</t>
    </r>
    <r>
      <rPr>
        <sz val="11"/>
        <rFont val="Carlito"/>
      </rPr>
      <t xml:space="preserve"> / </t>
    </r>
    <r>
      <rPr>
        <sz val="11"/>
        <rFont val="돋움"/>
        <family val="3"/>
        <charset val="129"/>
      </rPr>
      <t>월별단가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환산</t>
    </r>
    <r>
      <rPr>
        <sz val="11"/>
        <rFont val="Carlito"/>
      </rPr>
      <t xml:space="preserve"> / 518.1 kgCO2e</t>
    </r>
  </si>
  <si>
    <r>
      <t>경유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주유비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</si>
</sst>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#,##0.0"/>
    <numFmt numFmtId="178" formatCode="#,##0.0000"/>
  </numFmts>
  <fonts count="10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  <font>
      <u/>
      <sz val="11"/>
      <color theme="10"/>
      <name val="Carlito"/>
    </font>
    <font>
      <b/>
      <sz val="11"/>
      <color rgb="FFFFFFFF"/>
      <name val="Carlito"/>
      <family val="3"/>
      <charset val="129"/>
    </font>
    <font>
      <sz val="11"/>
      <name val="맑은 고딕"/>
      <family val="3"/>
      <charset val="129"/>
    </font>
    <font>
      <sz val="11"/>
      <name val="돋움"/>
      <family val="3"/>
      <charset val="129"/>
    </font>
    <font>
      <b/>
      <sz val="11"/>
      <name val="Carlito"/>
    </font>
    <font>
      <b/>
      <sz val="1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24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176" fontId="0" fillId="0" borderId="0" xfId="1" applyNumberFormat="1" applyFont="1" applyAlignment="1">
      <alignment wrapText="1"/>
    </xf>
    <xf numFmtId="176" fontId="0" fillId="0" borderId="0" xfId="1" applyNumberFormat="1" applyFont="1"/>
    <xf numFmtId="3" fontId="0" fillId="0" borderId="0" xfId="1" applyNumberFormat="1" applyFont="1" applyAlignment="1">
      <alignment wrapText="1"/>
    </xf>
    <xf numFmtId="3" fontId="0" fillId="0" borderId="0" xfId="1" applyNumberFormat="1" applyFont="1"/>
    <xf numFmtId="177" fontId="0" fillId="0" borderId="0" xfId="1" applyNumberFormat="1" applyFont="1" applyAlignment="1">
      <alignment wrapText="1"/>
    </xf>
    <xf numFmtId="177" fontId="0" fillId="0" borderId="0" xfId="1" applyNumberFormat="1" applyFont="1"/>
    <xf numFmtId="4" fontId="0" fillId="0" borderId="0" xfId="1" applyNumberFormat="1" applyFont="1" applyAlignment="1">
      <alignment wrapText="1"/>
    </xf>
    <xf numFmtId="4" fontId="0" fillId="0" borderId="0" xfId="1" applyNumberFormat="1" applyFont="1"/>
    <xf numFmtId="0" fontId="4" fillId="0" borderId="0" xfId="2" applyAlignment="1">
      <alignment wrapText="1"/>
    </xf>
    <xf numFmtId="0" fontId="5" fillId="2" borderId="0" xfId="1" applyFont="1" applyFill="1" applyAlignment="1">
      <alignment horizontal="center" vertical="center" wrapText="1"/>
    </xf>
    <xf numFmtId="0" fontId="6" fillId="0" borderId="0" xfId="1" applyFont="1" applyAlignment="1">
      <alignment wrapText="1"/>
    </xf>
    <xf numFmtId="0" fontId="0" fillId="0" borderId="0" xfId="1" applyFont="1" applyAlignment="1">
      <alignment vertical="center" wrapText="1"/>
    </xf>
    <xf numFmtId="0" fontId="1" fillId="3" borderId="0" xfId="1" applyFont="1" applyFill="1" applyAlignment="1">
      <alignment horizontal="center" vertical="center" wrapText="1"/>
    </xf>
    <xf numFmtId="178" fontId="0" fillId="0" borderId="0" xfId="1" applyNumberFormat="1" applyFont="1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177" fontId="8" fillId="0" borderId="0" xfId="1" applyNumberFormat="1" applyFont="1"/>
    <xf numFmtId="0" fontId="9" fillId="0" borderId="0" xfId="0" applyFont="1"/>
    <xf numFmtId="0" fontId="0" fillId="0" borderId="0" xfId="0" applyFont="1"/>
    <xf numFmtId="177" fontId="2" fillId="0" borderId="0" xfId="1" applyNumberFormat="1" applyFont="1"/>
  </cellXfs>
  <cellStyles count="3">
    <cellStyle name="Normal" xfId="1" xr:uid="{00000000-0005-0000-0000-000001000000}"/>
    <cellStyle name="표준" xfId="0" builtinId="0"/>
    <cellStyle name="하이퍼링크" xfId="2" builtinId="8"/>
  </cellStyles>
  <dxfs count="5">
    <dxf>
      <fill>
        <patternFill patternType="solid">
          <bgColor rgb="FFFECACA"/>
        </patternFill>
      </fill>
    </dxf>
    <dxf>
      <fill>
        <patternFill patternType="solid">
          <bgColor rgb="FFE5E7EB"/>
        </patternFill>
      </fill>
    </dxf>
    <dxf>
      <fill>
        <patternFill patternType="solid">
          <bgColor rgb="FFDBEAFE"/>
        </patternFill>
      </fill>
    </dxf>
    <dxf>
      <fill>
        <patternFill patternType="solid">
          <bgColor rgb="FFFEF3C7"/>
        </patternFill>
      </fill>
    </dxf>
    <dxf>
      <numFmt numFmtId="178" formatCode="#,##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oicesTable" displayName="InvoicesTable" ref="A1:S42">
  <tableColumns count="19">
    <tableColumn id="1" xr3:uid="{00000000-0010-0000-0000-000001000000}" name="전표ID"/>
    <tableColumn id="2" xr3:uid="{00000000-0010-0000-0000-000002000000}" name="기업ID"/>
    <tableColumn id="3" xr3:uid="{00000000-0010-0000-0000-000003000000}" name="날짜"/>
    <tableColumn id="4" xr3:uid="{00000000-0010-0000-0000-000004000000}" name="거래처"/>
    <tableColumn id="5" xr3:uid="{00000000-0010-0000-0000-000005000000}" name="품목명"/>
    <tableColumn id="6" xr3:uid="{00000000-0010-0000-0000-000006000000}" name="공급가액"/>
    <tableColumn id="7" xr3:uid="{00000000-0010-0000-0000-000007000000}" name="부가세"/>
    <tableColumn id="8" xr3:uid="{00000000-0010-0000-0000-000008000000}" name="합계금액"/>
    <tableColumn id="9" xr3:uid="{00000000-0010-0000-0000-000009000000}" name="수량"/>
    <tableColumn id="10" xr3:uid="{00000000-0010-0000-0000-00000A000000}" name="단위"/>
    <tableColumn id="11" xr3:uid="{00000000-0010-0000-0000-00000B000000}" name="정답Scope"/>
    <tableColumn id="12" xr3:uid="{00000000-0010-0000-0000-00000C000000}" name="정답분류"/>
    <tableColumn id="13" xr3:uid="{00000000-0010-0000-0000-00000D000000}" name="정답연료"/>
    <tableColumn id="14" xr3:uid="{00000000-0010-0000-0000-00000E000000}" name="데이터품질"/>
    <tableColumn id="15" xr3:uid="{00000000-0010-0000-0000-00000F000000}" name="혼합품목"/>
    <tableColumn id="16" xr3:uid="{00000000-0010-0000-0000-000010000000}" name="배분규칙"/>
    <tableColumn id="17" xr3:uid="{00000000-0010-0000-0000-000011000000}" name="사람검토필요"/>
    <tableColumn id="18" xr3:uid="{00000000-0010-0000-0000-000012000000}" name="근거"/>
    <tableColumn id="19" xr3:uid="{00000000-0010-0000-0000-000013000000}" name="개발메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ulesTable6" displayName="RulesTable6" ref="A1:N51">
  <tableColumns count="14">
    <tableColumn id="1" xr3:uid="{00000000-0010-0000-0100-000001000000}" name="rule_id"/>
    <tableColumn id="2" xr3:uid="{00000000-0010-0000-0100-000002000000}" name="우선순위"/>
    <tableColumn id="3" xr3:uid="{00000000-0010-0000-0100-000003000000}" name="대표키워드/문구"/>
    <tableColumn id="4" xr3:uid="{00000000-0010-0000-0100-000004000000}" name="포함 키워드"/>
    <tableColumn id="5" xr3:uid="{00000000-0010-0000-0100-000005000000}" name="제외/주의 키워드"/>
    <tableColumn id="6" xr3:uid="{00000000-0010-0000-0100-000006000000}" name="정답Scope"/>
    <tableColumn id="7" xr3:uid="{00000000-0010-0000-0100-000007000000}" name="세부분류"/>
    <tableColumn id="8" xr3:uid="{00000000-0010-0000-0100-000008000000}" name="연료/항목"/>
    <tableColumn id="9" xr3:uid="{00000000-0010-0000-0100-000009000000}" name="자동처리"/>
    <tableColumn id="10" xr3:uid="{00000000-0010-0000-0100-00000A000000}" name="사람검토필요"/>
    <tableColumn id="11" xr3:uid="{00000000-0010-0000-0100-00000B000000}" name="혼합품목 플래그"/>
    <tableColumn id="12" xr3:uid="{00000000-0010-0000-0100-00000C000000}" name="기본 데이터품질"/>
    <tableColumn id="13" xr3:uid="{00000000-0010-0000-0100-00000D000000}" name="판단기준/근거"/>
    <tableColumn id="14" xr3:uid="{00000000-0010-0000-0100-00000E000000}" name="예시 전표 문구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missionFactorsTable" displayName="EmissionFactorsTable" ref="A1:H9">
  <tableColumns count="8">
    <tableColumn id="1" xr3:uid="{00000000-0010-0000-0200-000001000000}" name="연료/에너지"/>
    <tableColumn id="2" xr3:uid="{00000000-0010-0000-0200-000002000000}" name="Scope"/>
    <tableColumn id="3" xr3:uid="{00000000-0010-0000-0200-000003000000}" name="단위"/>
    <tableColumn id="4" xr3:uid="{00000000-0010-0000-0200-000004000000}" name="배출계수_kgCO2e_per_unit" dataDxfId="4"/>
    <tableColumn id="5" xr3:uid="{00000000-0010-0000-0200-000005000000}" name="월별_환산단가_공급가액"/>
    <tableColumn id="6" xr3:uid="{00000000-0010-0000-0200-000006000000}" name="단가단위"/>
    <tableColumn id="7" xr3:uid="{00000000-0010-0000-0200-000007000000}" name="출처URL"/>
    <tableColumn id="8" xr3:uid="{00000000-0010-0000-0200-000008000000}" name="비고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ExpectedOutputsTable" displayName="ExpectedOutputsTable" ref="A1:L42">
  <tableColumns count="12">
    <tableColumn id="1" xr3:uid="{00000000-0010-0000-0300-000001000000}" name="전표ID"/>
    <tableColumn id="2" xr3:uid="{00000000-0010-0000-0300-000002000000}" name="품목명"/>
    <tableColumn id="3" xr3:uid="{00000000-0010-0000-0300-000003000000}" name="결과Scope"/>
    <tableColumn id="4" xr3:uid="{00000000-0010-0000-0300-000004000000}" name="결과연료"/>
    <tableColumn id="5" xr3:uid="{00000000-0010-0000-0300-000005000000}" name="공급가액"/>
    <tableColumn id="6" xr3:uid="{00000000-0010-0000-0300-000006000000}" name="활동량"/>
    <tableColumn id="7" xr3:uid="{00000000-0010-0000-0300-000007000000}" name="단위"/>
    <tableColumn id="8" xr3:uid="{00000000-0010-0000-0300-000008000000}" name="배출계수"/>
    <tableColumn id="9" xr3:uid="{00000000-0010-0000-0300-000009000000}" name="예상배출량_kgCO2e"/>
    <tableColumn id="10" xr3:uid="{00000000-0010-0000-0300-00000A000000}" name="사람검토필요"/>
    <tableColumn id="11" xr3:uid="{00000000-0010-0000-0300-00000B000000}" name="결과근거"/>
    <tableColumn id="12" xr3:uid="{00000000-0010-0000-0300-00000C000000}" name="뱉어야 하는 핵심 결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hyperlink" Target="https://www.gir.go.kr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9"/>
  <sheetViews>
    <sheetView topLeftCell="E14" workbookViewId="0">
      <selection activeCell="G48" sqref="G48"/>
    </sheetView>
  </sheetViews>
  <sheetFormatPr defaultRowHeight="13.8"/>
  <cols>
    <col min="1" max="2" width="5.8984375" customWidth="1"/>
    <col min="3" max="3" width="10.69921875" bestFit="1" customWidth="1"/>
    <col min="4" max="4" width="11.5" customWidth="1"/>
    <col min="5" max="5" width="24" customWidth="1"/>
    <col min="6" max="6" width="11" customWidth="1"/>
    <col min="7" max="7" width="8.69921875" customWidth="1"/>
    <col min="8" max="8" width="10.3984375" customWidth="1"/>
    <col min="9" max="9" width="7.3984375" bestFit="1" customWidth="1"/>
    <col min="10" max="10" width="4.19921875" customWidth="1"/>
    <col min="11" max="11" width="8.69921875" customWidth="1"/>
    <col min="12" max="12" width="9.69921875" customWidth="1"/>
    <col min="13" max="13" width="12" customWidth="1"/>
    <col min="14" max="14" width="9.69921875" customWidth="1"/>
    <col min="15" max="15" width="7.8984375" customWidth="1"/>
    <col min="16" max="16" width="10.59765625" customWidth="1"/>
    <col min="17" max="17" width="11.5" customWidth="1"/>
    <col min="18" max="18" width="32" customWidth="1"/>
    <col min="19" max="19" width="20" customWidth="1"/>
  </cols>
  <sheetData>
    <row r="1" spans="1:19" ht="12" customHeight="1">
      <c r="A1" s="1" t="s">
        <v>327</v>
      </c>
      <c r="B1" s="1" t="s">
        <v>328</v>
      </c>
      <c r="C1" s="1" t="s">
        <v>329</v>
      </c>
      <c r="D1" s="1" t="s">
        <v>330</v>
      </c>
      <c r="E1" s="1" t="s">
        <v>331</v>
      </c>
      <c r="F1" s="1" t="s">
        <v>332</v>
      </c>
      <c r="G1" s="1" t="s">
        <v>333</v>
      </c>
      <c r="H1" s="1" t="s">
        <v>334</v>
      </c>
      <c r="I1" s="1" t="s">
        <v>335</v>
      </c>
      <c r="J1" s="1" t="s">
        <v>336</v>
      </c>
      <c r="K1" s="1" t="s">
        <v>5</v>
      </c>
      <c r="L1" s="1" t="s">
        <v>337</v>
      </c>
      <c r="M1" s="1" t="s">
        <v>338</v>
      </c>
      <c r="N1" s="1" t="s">
        <v>339</v>
      </c>
      <c r="O1" s="1" t="s">
        <v>185</v>
      </c>
      <c r="P1" s="1" t="s">
        <v>340</v>
      </c>
      <c r="Q1" s="1" t="s">
        <v>9</v>
      </c>
      <c r="R1" s="1" t="s">
        <v>341</v>
      </c>
      <c r="S1" s="1" t="s">
        <v>342</v>
      </c>
    </row>
    <row r="2" spans="1:19" ht="12" customHeight="1">
      <c r="A2" s="2" t="s">
        <v>343</v>
      </c>
      <c r="B2" s="2" t="s">
        <v>344</v>
      </c>
      <c r="C2" s="3">
        <v>45728</v>
      </c>
      <c r="D2" s="2" t="s">
        <v>345</v>
      </c>
      <c r="E2" s="2" t="s">
        <v>51</v>
      </c>
      <c r="F2" s="5">
        <v>654000</v>
      </c>
      <c r="G2" s="5">
        <v>65400</v>
      </c>
      <c r="H2" s="5">
        <v>719400</v>
      </c>
      <c r="I2" s="7">
        <v>500</v>
      </c>
      <c r="J2" s="2" t="s">
        <v>346</v>
      </c>
      <c r="K2" s="2" t="s">
        <v>46</v>
      </c>
      <c r="L2" s="2" t="s">
        <v>47</v>
      </c>
      <c r="M2" s="2" t="s">
        <v>48</v>
      </c>
      <c r="N2" s="2" t="s">
        <v>21</v>
      </c>
      <c r="O2" s="2" t="b">
        <v>1</v>
      </c>
      <c r="P2" s="2" t="s">
        <v>347</v>
      </c>
      <c r="Q2" s="2" t="s">
        <v>348</v>
      </c>
      <c r="R2" s="2" t="s">
        <v>349</v>
      </c>
      <c r="S2" s="2" t="s">
        <v>350</v>
      </c>
    </row>
    <row r="3" spans="1:19" ht="12" customHeight="1">
      <c r="A3" s="2" t="s">
        <v>351</v>
      </c>
      <c r="B3" s="2" t="s">
        <v>344</v>
      </c>
      <c r="C3" s="3">
        <v>45736</v>
      </c>
      <c r="D3" s="2" t="s">
        <v>15</v>
      </c>
      <c r="E3" s="2" t="s">
        <v>352</v>
      </c>
      <c r="F3" s="5">
        <v>1200000</v>
      </c>
      <c r="G3" s="5">
        <v>120000</v>
      </c>
      <c r="H3" s="5">
        <v>1320000</v>
      </c>
      <c r="I3" s="7">
        <v>3500</v>
      </c>
      <c r="J3" s="2" t="s">
        <v>353</v>
      </c>
      <c r="K3" s="2" t="s">
        <v>17</v>
      </c>
      <c r="L3" s="2" t="s">
        <v>18</v>
      </c>
      <c r="M3" s="2" t="s">
        <v>19</v>
      </c>
      <c r="N3" s="2" t="s">
        <v>21</v>
      </c>
      <c r="O3" s="2" t="b">
        <v>0</v>
      </c>
      <c r="P3" s="2" t="s">
        <v>354</v>
      </c>
      <c r="Q3" s="2" t="s">
        <v>348</v>
      </c>
      <c r="R3" s="2" t="s">
        <v>355</v>
      </c>
      <c r="S3" s="2" t="s">
        <v>350</v>
      </c>
    </row>
    <row r="4" spans="1:19" ht="12" customHeight="1">
      <c r="A4" s="2" t="s">
        <v>356</v>
      </c>
      <c r="B4" s="2" t="s">
        <v>344</v>
      </c>
      <c r="C4" s="3">
        <v>45741</v>
      </c>
      <c r="D4" s="2" t="s">
        <v>357</v>
      </c>
      <c r="E4" s="2" t="s">
        <v>235</v>
      </c>
      <c r="F4" s="5">
        <v>150000</v>
      </c>
      <c r="G4" s="5">
        <v>15000</v>
      </c>
      <c r="H4" s="5">
        <v>165000</v>
      </c>
      <c r="I4" s="7"/>
      <c r="J4" s="2"/>
      <c r="K4" s="2" t="s">
        <v>142</v>
      </c>
      <c r="L4" s="2" t="s">
        <v>229</v>
      </c>
      <c r="M4" s="2" t="s">
        <v>203</v>
      </c>
      <c r="N4" s="2" t="s">
        <v>145</v>
      </c>
      <c r="O4" s="2" t="b">
        <v>0</v>
      </c>
      <c r="P4" s="2" t="s">
        <v>142</v>
      </c>
      <c r="Q4" s="2" t="s">
        <v>348</v>
      </c>
      <c r="R4" s="2" t="s">
        <v>358</v>
      </c>
      <c r="S4" s="2" t="s">
        <v>359</v>
      </c>
    </row>
    <row r="5" spans="1:19" ht="12" customHeight="1">
      <c r="A5" s="2" t="s">
        <v>360</v>
      </c>
      <c r="B5" s="2" t="s">
        <v>344</v>
      </c>
      <c r="C5" s="3">
        <v>45749</v>
      </c>
      <c r="D5" s="2" t="s">
        <v>361</v>
      </c>
      <c r="E5" s="2" t="s">
        <v>137</v>
      </c>
      <c r="F5" s="5">
        <v>320000</v>
      </c>
      <c r="G5" s="5">
        <v>32000</v>
      </c>
      <c r="H5" s="5">
        <v>352000</v>
      </c>
      <c r="I5" s="7"/>
      <c r="J5" s="2"/>
      <c r="K5" s="2" t="s">
        <v>46</v>
      </c>
      <c r="L5" s="2" t="s">
        <v>90</v>
      </c>
      <c r="M5" s="2" t="s">
        <v>128</v>
      </c>
      <c r="N5" s="2" t="s">
        <v>68</v>
      </c>
      <c r="O5" s="2" t="b">
        <v>0</v>
      </c>
      <c r="P5" s="2" t="s">
        <v>362</v>
      </c>
      <c r="Q5" s="2" t="s">
        <v>363</v>
      </c>
      <c r="R5" s="2" t="s">
        <v>364</v>
      </c>
      <c r="S5" s="2" t="s">
        <v>365</v>
      </c>
    </row>
    <row r="6" spans="1:19" ht="12" customHeight="1">
      <c r="A6" s="2" t="s">
        <v>366</v>
      </c>
      <c r="B6" s="2" t="s">
        <v>344</v>
      </c>
      <c r="C6" s="3">
        <v>45752</v>
      </c>
      <c r="D6" s="2" t="s">
        <v>367</v>
      </c>
      <c r="E6" s="2" t="s">
        <v>368</v>
      </c>
      <c r="F6" s="5">
        <v>410000</v>
      </c>
      <c r="G6" s="5">
        <v>41000</v>
      </c>
      <c r="H6" s="5">
        <v>451000</v>
      </c>
      <c r="I6" s="7">
        <v>310</v>
      </c>
      <c r="J6" s="2" t="s">
        <v>346</v>
      </c>
      <c r="K6" s="2" t="s">
        <v>46</v>
      </c>
      <c r="L6" s="2" t="s">
        <v>47</v>
      </c>
      <c r="M6" s="2" t="s">
        <v>48</v>
      </c>
      <c r="N6" s="2" t="s">
        <v>21</v>
      </c>
      <c r="O6" s="2" t="b">
        <v>0</v>
      </c>
      <c r="P6" s="2" t="s">
        <v>354</v>
      </c>
      <c r="Q6" s="2" t="s">
        <v>348</v>
      </c>
      <c r="R6" s="2" t="s">
        <v>369</v>
      </c>
      <c r="S6" s="2" t="s">
        <v>350</v>
      </c>
    </row>
    <row r="7" spans="1:19" ht="12" customHeight="1">
      <c r="A7" s="2" t="s">
        <v>370</v>
      </c>
      <c r="B7" s="2" t="s">
        <v>344</v>
      </c>
      <c r="C7" s="3">
        <v>45757</v>
      </c>
      <c r="D7" s="2" t="s">
        <v>15</v>
      </c>
      <c r="E7" s="2" t="s">
        <v>371</v>
      </c>
      <c r="F7" s="5">
        <v>1380000</v>
      </c>
      <c r="G7" s="5">
        <v>138000</v>
      </c>
      <c r="H7" s="5">
        <v>1518000</v>
      </c>
      <c r="I7" s="7">
        <v>4100</v>
      </c>
      <c r="J7" s="2" t="s">
        <v>353</v>
      </c>
      <c r="K7" s="2" t="s">
        <v>17</v>
      </c>
      <c r="L7" s="2" t="s">
        <v>18</v>
      </c>
      <c r="M7" s="2" t="s">
        <v>19</v>
      </c>
      <c r="N7" s="2" t="s">
        <v>21</v>
      </c>
      <c r="O7" s="2" t="b">
        <v>0</v>
      </c>
      <c r="P7" s="2" t="s">
        <v>354</v>
      </c>
      <c r="Q7" s="2" t="s">
        <v>348</v>
      </c>
      <c r="R7" s="2" t="s">
        <v>372</v>
      </c>
      <c r="S7" s="2" t="s">
        <v>350</v>
      </c>
    </row>
    <row r="8" spans="1:19" ht="12" customHeight="1">
      <c r="A8" s="2" t="s">
        <v>373</v>
      </c>
      <c r="B8" s="2" t="s">
        <v>344</v>
      </c>
      <c r="C8" s="3">
        <v>45760</v>
      </c>
      <c r="D8" s="2" t="s">
        <v>374</v>
      </c>
      <c r="E8" s="2" t="s">
        <v>375</v>
      </c>
      <c r="F8" s="5">
        <v>220000</v>
      </c>
      <c r="G8" s="5">
        <v>22000</v>
      </c>
      <c r="H8" s="5">
        <v>242000</v>
      </c>
      <c r="I8" s="7">
        <v>180</v>
      </c>
      <c r="J8" s="2" t="s">
        <v>376</v>
      </c>
      <c r="K8" s="2" t="s">
        <v>46</v>
      </c>
      <c r="L8" s="2" t="s">
        <v>90</v>
      </c>
      <c r="M8" s="2" t="s">
        <v>87</v>
      </c>
      <c r="N8" s="2" t="s">
        <v>21</v>
      </c>
      <c r="O8" s="2" t="b">
        <v>0</v>
      </c>
      <c r="P8" s="2" t="s">
        <v>354</v>
      </c>
      <c r="Q8" s="2" t="s">
        <v>348</v>
      </c>
      <c r="R8" s="2" t="s">
        <v>377</v>
      </c>
      <c r="S8" s="2" t="s">
        <v>350</v>
      </c>
    </row>
    <row r="9" spans="1:19" ht="12" customHeight="1">
      <c r="A9" s="2" t="s">
        <v>378</v>
      </c>
      <c r="B9" s="2" t="s">
        <v>344</v>
      </c>
      <c r="C9" s="3">
        <v>45765</v>
      </c>
      <c r="D9" s="2" t="s">
        <v>379</v>
      </c>
      <c r="E9" s="2" t="s">
        <v>380</v>
      </c>
      <c r="F9" s="5">
        <v>275000</v>
      </c>
      <c r="G9" s="5">
        <v>27500</v>
      </c>
      <c r="H9" s="5">
        <v>302500</v>
      </c>
      <c r="I9" s="7"/>
      <c r="J9" s="2"/>
      <c r="K9" s="2" t="s">
        <v>142</v>
      </c>
      <c r="L9" s="2" t="s">
        <v>229</v>
      </c>
      <c r="M9" s="2" t="s">
        <v>203</v>
      </c>
      <c r="N9" s="2" t="s">
        <v>145</v>
      </c>
      <c r="O9" s="2" t="b">
        <v>1</v>
      </c>
      <c r="P9" s="2" t="s">
        <v>362</v>
      </c>
      <c r="Q9" s="2" t="s">
        <v>363</v>
      </c>
      <c r="R9" s="2" t="s">
        <v>381</v>
      </c>
      <c r="S9" s="2" t="s">
        <v>382</v>
      </c>
    </row>
    <row r="10" spans="1:19" ht="12" customHeight="1">
      <c r="A10" s="2" t="s">
        <v>383</v>
      </c>
      <c r="B10" s="2" t="s">
        <v>384</v>
      </c>
      <c r="C10" s="3">
        <v>45727</v>
      </c>
      <c r="D10" s="2" t="s">
        <v>385</v>
      </c>
      <c r="E10" s="2" t="s">
        <v>386</v>
      </c>
      <c r="F10" s="5">
        <v>180000</v>
      </c>
      <c r="G10" s="5">
        <v>18000</v>
      </c>
      <c r="H10" s="5">
        <v>198000</v>
      </c>
      <c r="I10" s="7">
        <v>95</v>
      </c>
      <c r="J10" s="2" t="s">
        <v>387</v>
      </c>
      <c r="K10" s="2" t="s">
        <v>46</v>
      </c>
      <c r="L10" s="2" t="s">
        <v>90</v>
      </c>
      <c r="M10" s="2" t="s">
        <v>74</v>
      </c>
      <c r="N10" s="2" t="s">
        <v>503</v>
      </c>
      <c r="O10" s="2" t="b">
        <v>0</v>
      </c>
      <c r="P10" s="2" t="s">
        <v>362</v>
      </c>
      <c r="Q10" s="2" t="s">
        <v>363</v>
      </c>
      <c r="R10" s="2" t="s">
        <v>504</v>
      </c>
      <c r="S10" s="2" t="s">
        <v>365</v>
      </c>
    </row>
    <row r="11" spans="1:19" ht="12" customHeight="1">
      <c r="A11" s="2" t="s">
        <v>388</v>
      </c>
      <c r="B11" s="2" t="s">
        <v>384</v>
      </c>
      <c r="C11" s="3">
        <v>45731</v>
      </c>
      <c r="D11" s="2" t="s">
        <v>15</v>
      </c>
      <c r="E11" s="2" t="s">
        <v>389</v>
      </c>
      <c r="F11" s="5">
        <v>980000</v>
      </c>
      <c r="G11" s="5">
        <v>98000</v>
      </c>
      <c r="H11" s="5">
        <v>1078000</v>
      </c>
      <c r="I11" s="7">
        <v>2800</v>
      </c>
      <c r="J11" s="2" t="s">
        <v>353</v>
      </c>
      <c r="K11" s="2" t="s">
        <v>17</v>
      </c>
      <c r="L11" s="2" t="s">
        <v>18</v>
      </c>
      <c r="M11" s="2" t="s">
        <v>19</v>
      </c>
      <c r="N11" s="2" t="s">
        <v>21</v>
      </c>
      <c r="O11" s="2" t="b">
        <v>0</v>
      </c>
      <c r="P11" s="2" t="s">
        <v>354</v>
      </c>
      <c r="Q11" s="2" t="s">
        <v>348</v>
      </c>
      <c r="R11" s="2" t="s">
        <v>390</v>
      </c>
      <c r="S11" s="2" t="s">
        <v>350</v>
      </c>
    </row>
    <row r="12" spans="1:19" ht="12" customHeight="1">
      <c r="A12" s="2" t="s">
        <v>391</v>
      </c>
      <c r="B12" s="2" t="s">
        <v>384</v>
      </c>
      <c r="C12" s="3">
        <v>45739</v>
      </c>
      <c r="D12" s="2" t="s">
        <v>392</v>
      </c>
      <c r="E12" s="2" t="s">
        <v>78</v>
      </c>
      <c r="F12" s="5">
        <v>355000</v>
      </c>
      <c r="G12" s="5">
        <v>35500</v>
      </c>
      <c r="H12" s="5">
        <v>390500</v>
      </c>
      <c r="I12" s="7"/>
      <c r="J12" s="2"/>
      <c r="K12" s="2" t="s">
        <v>46</v>
      </c>
      <c r="L12" s="2" t="s">
        <v>47</v>
      </c>
      <c r="M12" s="2" t="s">
        <v>82</v>
      </c>
      <c r="N12" s="2" t="s">
        <v>68</v>
      </c>
      <c r="O12" s="2" t="b">
        <v>0</v>
      </c>
      <c r="P12" s="2" t="s">
        <v>362</v>
      </c>
      <c r="Q12" s="2" t="s">
        <v>363</v>
      </c>
      <c r="R12" s="2" t="s">
        <v>393</v>
      </c>
      <c r="S12" s="2" t="s">
        <v>365</v>
      </c>
    </row>
    <row r="13" spans="1:19" ht="12" customHeight="1">
      <c r="A13" s="2" t="s">
        <v>394</v>
      </c>
      <c r="B13" s="2" t="s">
        <v>384</v>
      </c>
      <c r="C13" s="3">
        <v>45748</v>
      </c>
      <c r="D13" s="2" t="s">
        <v>345</v>
      </c>
      <c r="E13" s="2" t="s">
        <v>48</v>
      </c>
      <c r="F13" s="5">
        <v>785000</v>
      </c>
      <c r="G13" s="5">
        <v>78500</v>
      </c>
      <c r="H13" s="5">
        <v>863500</v>
      </c>
      <c r="I13" s="7">
        <v>600</v>
      </c>
      <c r="J13" s="2" t="s">
        <v>346</v>
      </c>
      <c r="K13" s="2" t="s">
        <v>46</v>
      </c>
      <c r="L13" s="2" t="s">
        <v>47</v>
      </c>
      <c r="M13" s="2" t="s">
        <v>48</v>
      </c>
      <c r="N13" s="2" t="s">
        <v>21</v>
      </c>
      <c r="O13" s="2" t="b">
        <v>0</v>
      </c>
      <c r="P13" s="2" t="s">
        <v>354</v>
      </c>
      <c r="Q13" s="2" t="s">
        <v>348</v>
      </c>
      <c r="R13" s="2" t="s">
        <v>395</v>
      </c>
      <c r="S13" s="2" t="s">
        <v>350</v>
      </c>
    </row>
    <row r="14" spans="1:19" ht="12" customHeight="1">
      <c r="A14" s="2" t="s">
        <v>396</v>
      </c>
      <c r="B14" s="2" t="s">
        <v>384</v>
      </c>
      <c r="C14" s="3">
        <v>45751</v>
      </c>
      <c r="D14" s="2" t="s">
        <v>397</v>
      </c>
      <c r="E14" s="2" t="s">
        <v>398</v>
      </c>
      <c r="F14" s="5">
        <v>440000</v>
      </c>
      <c r="G14" s="5">
        <v>44000</v>
      </c>
      <c r="H14" s="5">
        <v>484000</v>
      </c>
      <c r="I14" s="7"/>
      <c r="J14" s="2"/>
      <c r="K14" s="2" t="s">
        <v>81</v>
      </c>
      <c r="L14" s="2" t="s">
        <v>399</v>
      </c>
      <c r="M14" s="2" t="s">
        <v>399</v>
      </c>
      <c r="N14" s="2" t="s">
        <v>68</v>
      </c>
      <c r="O14" s="2" t="b">
        <v>1</v>
      </c>
      <c r="P14" s="2" t="s">
        <v>362</v>
      </c>
      <c r="Q14" s="2" t="s">
        <v>363</v>
      </c>
      <c r="R14" s="2" t="s">
        <v>400</v>
      </c>
      <c r="S14" s="2" t="s">
        <v>362</v>
      </c>
    </row>
    <row r="15" spans="1:19" ht="12" customHeight="1">
      <c r="A15" s="2" t="s">
        <v>401</v>
      </c>
      <c r="B15" s="2" t="s">
        <v>384</v>
      </c>
      <c r="C15" s="3">
        <v>45756</v>
      </c>
      <c r="D15" s="2" t="s">
        <v>357</v>
      </c>
      <c r="E15" s="2" t="s">
        <v>402</v>
      </c>
      <c r="F15" s="5">
        <v>210000</v>
      </c>
      <c r="G15" s="5">
        <v>21000</v>
      </c>
      <c r="H15" s="5">
        <v>231000</v>
      </c>
      <c r="I15" s="7"/>
      <c r="J15" s="2"/>
      <c r="K15" s="2" t="s">
        <v>142</v>
      </c>
      <c r="L15" s="2" t="s">
        <v>229</v>
      </c>
      <c r="M15" s="2" t="s">
        <v>203</v>
      </c>
      <c r="N15" s="2" t="s">
        <v>145</v>
      </c>
      <c r="O15" s="2" t="b">
        <v>0</v>
      </c>
      <c r="P15" s="2" t="s">
        <v>142</v>
      </c>
      <c r="Q15" s="2" t="s">
        <v>348</v>
      </c>
      <c r="R15" s="2" t="s">
        <v>403</v>
      </c>
      <c r="S15" s="2" t="s">
        <v>359</v>
      </c>
    </row>
    <row r="16" spans="1:19" ht="12" customHeight="1">
      <c r="A16" s="2" t="s">
        <v>404</v>
      </c>
      <c r="B16" s="2" t="s">
        <v>384</v>
      </c>
      <c r="C16" s="3">
        <v>45766</v>
      </c>
      <c r="D16" s="2" t="s">
        <v>15</v>
      </c>
      <c r="E16" s="2" t="s">
        <v>405</v>
      </c>
      <c r="F16" s="5">
        <v>1120000</v>
      </c>
      <c r="G16" s="5">
        <v>112000</v>
      </c>
      <c r="H16" s="5">
        <v>1232000</v>
      </c>
      <c r="I16" s="7">
        <v>3300</v>
      </c>
      <c r="J16" s="2" t="s">
        <v>353</v>
      </c>
      <c r="K16" s="2" t="s">
        <v>17</v>
      </c>
      <c r="L16" s="2" t="s">
        <v>18</v>
      </c>
      <c r="M16" s="2" t="s">
        <v>19</v>
      </c>
      <c r="N16" s="2" t="s">
        <v>21</v>
      </c>
      <c r="O16" s="2" t="b">
        <v>0</v>
      </c>
      <c r="P16" s="2" t="s">
        <v>354</v>
      </c>
      <c r="Q16" s="2" t="s">
        <v>348</v>
      </c>
      <c r="R16" s="2" t="s">
        <v>406</v>
      </c>
      <c r="S16" s="2" t="s">
        <v>350</v>
      </c>
    </row>
    <row r="17" spans="1:19" ht="12" customHeight="1">
      <c r="A17" s="2" t="s">
        <v>407</v>
      </c>
      <c r="B17" s="2" t="s">
        <v>408</v>
      </c>
      <c r="C17" s="3">
        <v>45719</v>
      </c>
      <c r="D17" s="2" t="s">
        <v>374</v>
      </c>
      <c r="E17" s="2" t="s">
        <v>95</v>
      </c>
      <c r="F17" s="5">
        <v>360000</v>
      </c>
      <c r="G17" s="5">
        <v>36000</v>
      </c>
      <c r="H17" s="5">
        <v>396000</v>
      </c>
      <c r="I17" s="7">
        <v>295</v>
      </c>
      <c r="J17" s="2" t="s">
        <v>376</v>
      </c>
      <c r="K17" s="2" t="s">
        <v>46</v>
      </c>
      <c r="L17" s="2" t="s">
        <v>90</v>
      </c>
      <c r="M17" s="2" t="s">
        <v>87</v>
      </c>
      <c r="N17" s="2" t="s">
        <v>21</v>
      </c>
      <c r="O17" s="2" t="b">
        <v>0</v>
      </c>
      <c r="P17" s="2" t="s">
        <v>354</v>
      </c>
      <c r="Q17" s="2" t="s">
        <v>348</v>
      </c>
      <c r="R17" s="2" t="s">
        <v>409</v>
      </c>
      <c r="S17" s="2" t="s">
        <v>350</v>
      </c>
    </row>
    <row r="18" spans="1:19" ht="12" customHeight="1">
      <c r="A18" s="2" t="s">
        <v>410</v>
      </c>
      <c r="B18" s="2" t="s">
        <v>408</v>
      </c>
      <c r="C18" s="3">
        <v>45723</v>
      </c>
      <c r="D18" s="2" t="s">
        <v>15</v>
      </c>
      <c r="E18" s="2" t="s">
        <v>411</v>
      </c>
      <c r="F18" s="5">
        <v>1540000</v>
      </c>
      <c r="G18" s="5">
        <v>154000</v>
      </c>
      <c r="H18" s="5">
        <v>1694000</v>
      </c>
      <c r="I18" s="7">
        <v>4600</v>
      </c>
      <c r="J18" s="2" t="s">
        <v>353</v>
      </c>
      <c r="K18" s="2" t="s">
        <v>17</v>
      </c>
      <c r="L18" s="2" t="s">
        <v>18</v>
      </c>
      <c r="M18" s="2" t="s">
        <v>19</v>
      </c>
      <c r="N18" s="2" t="s">
        <v>21</v>
      </c>
      <c r="O18" s="2" t="b">
        <v>0</v>
      </c>
      <c r="P18" s="2" t="s">
        <v>354</v>
      </c>
      <c r="Q18" s="2" t="s">
        <v>348</v>
      </c>
      <c r="R18" s="2" t="s">
        <v>411</v>
      </c>
      <c r="S18" s="2" t="s">
        <v>350</v>
      </c>
    </row>
    <row r="19" spans="1:19" ht="12" customHeight="1">
      <c r="A19" s="2" t="s">
        <v>412</v>
      </c>
      <c r="B19" s="2" t="s">
        <v>408</v>
      </c>
      <c r="C19" s="3">
        <v>45732</v>
      </c>
      <c r="D19" s="2" t="s">
        <v>413</v>
      </c>
      <c r="E19" s="2" t="s">
        <v>44</v>
      </c>
      <c r="F19" s="5">
        <v>520000</v>
      </c>
      <c r="G19" s="5">
        <v>52000</v>
      </c>
      <c r="H19" s="5">
        <v>572000</v>
      </c>
      <c r="I19" s="7">
        <v>400</v>
      </c>
      <c r="J19" s="2" t="s">
        <v>346</v>
      </c>
      <c r="K19" s="2" t="s">
        <v>46</v>
      </c>
      <c r="L19" s="2" t="s">
        <v>47</v>
      </c>
      <c r="M19" s="2" t="s">
        <v>48</v>
      </c>
      <c r="N19" s="2" t="s">
        <v>21</v>
      </c>
      <c r="O19" s="2" t="b">
        <v>0</v>
      </c>
      <c r="P19" s="2" t="s">
        <v>354</v>
      </c>
      <c r="Q19" s="2" t="s">
        <v>348</v>
      </c>
      <c r="R19" s="2" t="s">
        <v>414</v>
      </c>
      <c r="S19" s="2" t="s">
        <v>350</v>
      </c>
    </row>
    <row r="20" spans="1:19" ht="12" customHeight="1">
      <c r="A20" s="2" t="s">
        <v>415</v>
      </c>
      <c r="B20" s="2" t="s">
        <v>408</v>
      </c>
      <c r="C20" s="3">
        <v>45740</v>
      </c>
      <c r="D20" s="2" t="s">
        <v>416</v>
      </c>
      <c r="E20" s="2" t="s">
        <v>417</v>
      </c>
      <c r="F20" s="5">
        <v>180000</v>
      </c>
      <c r="G20" s="5">
        <v>18000</v>
      </c>
      <c r="H20" s="5">
        <v>198000</v>
      </c>
      <c r="I20" s="7"/>
      <c r="J20" s="2"/>
      <c r="K20" s="2" t="s">
        <v>142</v>
      </c>
      <c r="L20" s="2" t="s">
        <v>229</v>
      </c>
      <c r="M20" s="2" t="s">
        <v>203</v>
      </c>
      <c r="N20" s="2" t="s">
        <v>145</v>
      </c>
      <c r="O20" s="2" t="b">
        <v>0</v>
      </c>
      <c r="P20" s="2" t="s">
        <v>142</v>
      </c>
      <c r="Q20" s="2" t="s">
        <v>348</v>
      </c>
      <c r="R20" s="2" t="s">
        <v>418</v>
      </c>
      <c r="S20" s="2" t="s">
        <v>359</v>
      </c>
    </row>
    <row r="21" spans="1:19" ht="12" customHeight="1">
      <c r="A21" s="2" t="s">
        <v>419</v>
      </c>
      <c r="B21" s="2" t="s">
        <v>408</v>
      </c>
      <c r="C21" s="3">
        <v>45749</v>
      </c>
      <c r="D21" s="2" t="s">
        <v>385</v>
      </c>
      <c r="E21" s="2" t="s">
        <v>420</v>
      </c>
      <c r="F21" s="5">
        <v>260000</v>
      </c>
      <c r="G21" s="5">
        <v>26000</v>
      </c>
      <c r="H21" s="5">
        <v>286000</v>
      </c>
      <c r="I21" s="7">
        <v>135</v>
      </c>
      <c r="J21" s="2" t="s">
        <v>387</v>
      </c>
      <c r="K21" s="2" t="s">
        <v>46</v>
      </c>
      <c r="L21" s="2" t="s">
        <v>90</v>
      </c>
      <c r="M21" s="2" t="s">
        <v>74</v>
      </c>
      <c r="N21" s="2" t="s">
        <v>503</v>
      </c>
      <c r="O21" s="2" t="b">
        <v>0</v>
      </c>
      <c r="P21" s="2" t="s">
        <v>362</v>
      </c>
      <c r="Q21" s="2" t="s">
        <v>363</v>
      </c>
      <c r="R21" s="2" t="s">
        <v>504</v>
      </c>
      <c r="S21" s="2" t="s">
        <v>365</v>
      </c>
    </row>
    <row r="22" spans="1:19" ht="12" customHeight="1">
      <c r="A22" s="2" t="s">
        <v>421</v>
      </c>
      <c r="B22" s="2" t="s">
        <v>408</v>
      </c>
      <c r="C22" s="3">
        <v>45761</v>
      </c>
      <c r="D22" s="2" t="s">
        <v>422</v>
      </c>
      <c r="E22" s="2" t="s">
        <v>423</v>
      </c>
      <c r="F22" s="5">
        <v>300000</v>
      </c>
      <c r="G22" s="5">
        <v>30000</v>
      </c>
      <c r="H22" s="5">
        <v>330000</v>
      </c>
      <c r="I22" s="7"/>
      <c r="J22" s="2"/>
      <c r="K22" s="2" t="s">
        <v>142</v>
      </c>
      <c r="L22" s="2" t="s">
        <v>229</v>
      </c>
      <c r="M22" s="2" t="s">
        <v>203</v>
      </c>
      <c r="N22" s="2" t="s">
        <v>145</v>
      </c>
      <c r="O22" s="2" t="b">
        <v>0</v>
      </c>
      <c r="P22" s="2" t="s">
        <v>142</v>
      </c>
      <c r="Q22" s="2" t="s">
        <v>348</v>
      </c>
      <c r="R22" s="2" t="s">
        <v>424</v>
      </c>
      <c r="S22" s="2" t="s">
        <v>359</v>
      </c>
    </row>
    <row r="23" spans="1:19" ht="12" customHeight="1">
      <c r="A23" s="2" t="s">
        <v>425</v>
      </c>
      <c r="B23" s="2" t="s">
        <v>408</v>
      </c>
      <c r="C23" s="3">
        <v>45773</v>
      </c>
      <c r="D23" s="2" t="s">
        <v>15</v>
      </c>
      <c r="E23" s="2" t="s">
        <v>426</v>
      </c>
      <c r="F23" s="5">
        <v>1650000</v>
      </c>
      <c r="G23" s="5">
        <v>165000</v>
      </c>
      <c r="H23" s="5">
        <v>1815000</v>
      </c>
      <c r="I23" s="7">
        <v>5000</v>
      </c>
      <c r="J23" s="2" t="s">
        <v>353</v>
      </c>
      <c r="K23" s="2" t="s">
        <v>17</v>
      </c>
      <c r="L23" s="2" t="s">
        <v>18</v>
      </c>
      <c r="M23" s="2" t="s">
        <v>19</v>
      </c>
      <c r="N23" s="2" t="s">
        <v>21</v>
      </c>
      <c r="O23" s="2" t="b">
        <v>0</v>
      </c>
      <c r="P23" s="2" t="s">
        <v>354</v>
      </c>
      <c r="Q23" s="2" t="s">
        <v>348</v>
      </c>
      <c r="R23" s="2" t="s">
        <v>427</v>
      </c>
      <c r="S23" s="2" t="s">
        <v>350</v>
      </c>
    </row>
    <row r="24" spans="1:19" ht="12" customHeight="1">
      <c r="A24" s="2" t="s">
        <v>428</v>
      </c>
      <c r="B24" s="2" t="s">
        <v>429</v>
      </c>
      <c r="C24" s="3">
        <v>45721</v>
      </c>
      <c r="D24" s="2" t="s">
        <v>345</v>
      </c>
      <c r="E24" s="2" t="s">
        <v>189</v>
      </c>
      <c r="F24" s="5">
        <v>432000</v>
      </c>
      <c r="G24" s="5">
        <v>43200</v>
      </c>
      <c r="H24" s="5">
        <v>475200</v>
      </c>
      <c r="I24" s="7">
        <v>330</v>
      </c>
      <c r="J24" s="2" t="s">
        <v>346</v>
      </c>
      <c r="K24" s="2" t="s">
        <v>46</v>
      </c>
      <c r="L24" s="2" t="s">
        <v>47</v>
      </c>
      <c r="M24" s="2" t="s">
        <v>48</v>
      </c>
      <c r="N24" s="2" t="s">
        <v>21</v>
      </c>
      <c r="O24" s="2" t="b">
        <v>1</v>
      </c>
      <c r="P24" s="2" t="s">
        <v>347</v>
      </c>
      <c r="Q24" s="2" t="s">
        <v>348</v>
      </c>
      <c r="R24" s="2" t="s">
        <v>430</v>
      </c>
      <c r="S24" s="2" t="s">
        <v>431</v>
      </c>
    </row>
    <row r="25" spans="1:19" ht="12" customHeight="1">
      <c r="A25" s="2" t="s">
        <v>432</v>
      </c>
      <c r="B25" s="2" t="s">
        <v>429</v>
      </c>
      <c r="C25" s="3">
        <v>45724</v>
      </c>
      <c r="D25" s="2" t="s">
        <v>15</v>
      </c>
      <c r="E25" s="2" t="s">
        <v>433</v>
      </c>
      <c r="F25" s="5">
        <v>760000</v>
      </c>
      <c r="G25" s="5">
        <v>76000</v>
      </c>
      <c r="H25" s="5">
        <v>836000</v>
      </c>
      <c r="I25" s="7">
        <v>2200</v>
      </c>
      <c r="J25" s="2" t="s">
        <v>353</v>
      </c>
      <c r="K25" s="2" t="s">
        <v>17</v>
      </c>
      <c r="L25" s="2" t="s">
        <v>18</v>
      </c>
      <c r="M25" s="2" t="s">
        <v>19</v>
      </c>
      <c r="N25" s="2" t="s">
        <v>21</v>
      </c>
      <c r="O25" s="2" t="b">
        <v>0</v>
      </c>
      <c r="P25" s="2" t="s">
        <v>354</v>
      </c>
      <c r="Q25" s="2" t="s">
        <v>348</v>
      </c>
      <c r="R25" s="2" t="s">
        <v>426</v>
      </c>
      <c r="S25" s="2" t="s">
        <v>350</v>
      </c>
    </row>
    <row r="26" spans="1:19" ht="12" customHeight="1">
      <c r="A26" s="2" t="s">
        <v>434</v>
      </c>
      <c r="B26" s="2" t="s">
        <v>429</v>
      </c>
      <c r="C26" s="3">
        <v>45735</v>
      </c>
      <c r="D26" s="2" t="s">
        <v>435</v>
      </c>
      <c r="E26" s="2" t="s">
        <v>436</v>
      </c>
      <c r="F26" s="5">
        <v>390000</v>
      </c>
      <c r="G26" s="5">
        <v>39000</v>
      </c>
      <c r="H26" s="5">
        <v>429000</v>
      </c>
      <c r="I26" s="7"/>
      <c r="J26" s="2"/>
      <c r="K26" s="2" t="s">
        <v>81</v>
      </c>
      <c r="L26" s="2" t="s">
        <v>437</v>
      </c>
      <c r="M26" s="2" t="s">
        <v>203</v>
      </c>
      <c r="N26" s="2" t="s">
        <v>68</v>
      </c>
      <c r="O26" s="2" t="b">
        <v>1</v>
      </c>
      <c r="P26" s="2" t="s">
        <v>362</v>
      </c>
      <c r="Q26" s="2" t="s">
        <v>363</v>
      </c>
      <c r="R26" s="2" t="s">
        <v>438</v>
      </c>
      <c r="S26" s="2" t="s">
        <v>362</v>
      </c>
    </row>
    <row r="27" spans="1:19" ht="12" customHeight="1">
      <c r="A27" s="2" t="s">
        <v>439</v>
      </c>
      <c r="B27" s="2" t="s">
        <v>429</v>
      </c>
      <c r="C27" s="3">
        <v>45748</v>
      </c>
      <c r="D27" s="2" t="s">
        <v>374</v>
      </c>
      <c r="E27" s="2" t="s">
        <v>87</v>
      </c>
      <c r="F27" s="5">
        <v>190000</v>
      </c>
      <c r="G27" s="5">
        <v>19000</v>
      </c>
      <c r="H27" s="5">
        <v>209000</v>
      </c>
      <c r="I27" s="7">
        <v>160</v>
      </c>
      <c r="J27" s="2" t="s">
        <v>376</v>
      </c>
      <c r="K27" s="2" t="s">
        <v>46</v>
      </c>
      <c r="L27" s="13" t="s">
        <v>565</v>
      </c>
      <c r="M27" s="2" t="s">
        <v>87</v>
      </c>
      <c r="N27" s="2" t="s">
        <v>21</v>
      </c>
      <c r="O27" s="2" t="b">
        <v>0</v>
      </c>
      <c r="P27" s="2" t="s">
        <v>354</v>
      </c>
      <c r="Q27" s="2" t="s">
        <v>348</v>
      </c>
      <c r="R27" s="2" t="s">
        <v>440</v>
      </c>
      <c r="S27" s="2" t="s">
        <v>350</v>
      </c>
    </row>
    <row r="28" spans="1:19" ht="12" customHeight="1">
      <c r="A28" s="2" t="s">
        <v>441</v>
      </c>
      <c r="B28" s="2" t="s">
        <v>429</v>
      </c>
      <c r="C28" s="3">
        <v>45758</v>
      </c>
      <c r="D28" s="2" t="s">
        <v>357</v>
      </c>
      <c r="E28" s="2" t="s">
        <v>442</v>
      </c>
      <c r="F28" s="5">
        <v>280000</v>
      </c>
      <c r="G28" s="5">
        <v>28000</v>
      </c>
      <c r="H28" s="5">
        <v>308000</v>
      </c>
      <c r="I28" s="7"/>
      <c r="J28" s="2"/>
      <c r="K28" s="2" t="s">
        <v>142</v>
      </c>
      <c r="L28" s="2" t="s">
        <v>229</v>
      </c>
      <c r="M28" s="2" t="s">
        <v>203</v>
      </c>
      <c r="N28" s="2" t="s">
        <v>145</v>
      </c>
      <c r="O28" s="2" t="b">
        <v>0</v>
      </c>
      <c r="P28" s="2" t="s">
        <v>142</v>
      </c>
      <c r="Q28" s="2" t="s">
        <v>348</v>
      </c>
      <c r="R28" s="2" t="s">
        <v>229</v>
      </c>
      <c r="S28" s="2" t="s">
        <v>359</v>
      </c>
    </row>
    <row r="29" spans="1:19" ht="12" customHeight="1">
      <c r="A29" s="2" t="s">
        <v>443</v>
      </c>
      <c r="B29" s="2" t="s">
        <v>429</v>
      </c>
      <c r="C29" s="3">
        <v>45768</v>
      </c>
      <c r="D29" s="2" t="s">
        <v>15</v>
      </c>
      <c r="E29" s="2" t="s">
        <v>444</v>
      </c>
      <c r="F29" s="5">
        <v>830000</v>
      </c>
      <c r="G29" s="5">
        <v>83000</v>
      </c>
      <c r="H29" s="5">
        <v>913000</v>
      </c>
      <c r="I29" s="7">
        <v>2450</v>
      </c>
      <c r="J29" s="2" t="s">
        <v>353</v>
      </c>
      <c r="K29" s="2" t="s">
        <v>17</v>
      </c>
      <c r="L29" s="2" t="s">
        <v>18</v>
      </c>
      <c r="M29" s="2" t="s">
        <v>19</v>
      </c>
      <c r="N29" s="2" t="s">
        <v>21</v>
      </c>
      <c r="O29" s="2" t="b">
        <v>0</v>
      </c>
      <c r="P29" s="2" t="s">
        <v>354</v>
      </c>
      <c r="Q29" s="2" t="s">
        <v>348</v>
      </c>
      <c r="R29" s="2" t="s">
        <v>445</v>
      </c>
      <c r="S29" s="2" t="s">
        <v>350</v>
      </c>
    </row>
    <row r="30" spans="1:19" ht="12" customHeight="1">
      <c r="A30" s="2" t="s">
        <v>446</v>
      </c>
      <c r="B30" s="2" t="s">
        <v>447</v>
      </c>
      <c r="C30" s="3">
        <v>45718</v>
      </c>
      <c r="D30" s="2" t="s">
        <v>413</v>
      </c>
      <c r="E30" s="2" t="s">
        <v>448</v>
      </c>
      <c r="F30" s="5">
        <v>910000</v>
      </c>
      <c r="G30" s="5">
        <v>91000</v>
      </c>
      <c r="H30" s="5">
        <v>1001000</v>
      </c>
      <c r="I30" s="7">
        <v>700</v>
      </c>
      <c r="J30" s="2" t="s">
        <v>346</v>
      </c>
      <c r="K30" s="2" t="s">
        <v>46</v>
      </c>
      <c r="L30" s="2" t="s">
        <v>47</v>
      </c>
      <c r="M30" s="2" t="s">
        <v>48</v>
      </c>
      <c r="N30" s="2" t="s">
        <v>21</v>
      </c>
      <c r="O30" s="2" t="b">
        <v>0</v>
      </c>
      <c r="P30" s="2" t="s">
        <v>354</v>
      </c>
      <c r="Q30" s="2" t="s">
        <v>348</v>
      </c>
      <c r="R30" s="2" t="s">
        <v>449</v>
      </c>
      <c r="S30" s="2" t="s">
        <v>350</v>
      </c>
    </row>
    <row r="31" spans="1:19" ht="12" customHeight="1">
      <c r="A31" s="2" t="s">
        <v>450</v>
      </c>
      <c r="B31" s="2" t="s">
        <v>447</v>
      </c>
      <c r="C31" s="3">
        <v>45729</v>
      </c>
      <c r="D31" s="2" t="s">
        <v>15</v>
      </c>
      <c r="E31" s="2" t="s">
        <v>451</v>
      </c>
      <c r="F31" s="5">
        <v>1950000</v>
      </c>
      <c r="G31" s="5">
        <v>195000</v>
      </c>
      <c r="H31" s="5">
        <v>2145000</v>
      </c>
      <c r="I31" s="7">
        <v>5800</v>
      </c>
      <c r="J31" s="2" t="s">
        <v>353</v>
      </c>
      <c r="K31" s="2" t="s">
        <v>17</v>
      </c>
      <c r="L31" s="2" t="s">
        <v>18</v>
      </c>
      <c r="M31" s="2" t="s">
        <v>19</v>
      </c>
      <c r="N31" s="2" t="s">
        <v>21</v>
      </c>
      <c r="O31" s="2" t="b">
        <v>0</v>
      </c>
      <c r="P31" s="2" t="s">
        <v>354</v>
      </c>
      <c r="Q31" s="2" t="s">
        <v>348</v>
      </c>
      <c r="R31" s="2" t="s">
        <v>451</v>
      </c>
      <c r="S31" s="2" t="s">
        <v>350</v>
      </c>
    </row>
    <row r="32" spans="1:19" ht="12" customHeight="1">
      <c r="A32" s="2" t="s">
        <v>452</v>
      </c>
      <c r="B32" s="2" t="s">
        <v>447</v>
      </c>
      <c r="C32" s="3">
        <v>45737</v>
      </c>
      <c r="D32" s="2" t="s">
        <v>361</v>
      </c>
      <c r="E32" s="2" t="s">
        <v>125</v>
      </c>
      <c r="F32" s="5">
        <v>270000</v>
      </c>
      <c r="G32" s="5">
        <v>27000</v>
      </c>
      <c r="H32" s="5">
        <v>297000</v>
      </c>
      <c r="I32" s="7"/>
      <c r="J32" s="2"/>
      <c r="K32" s="2" t="s">
        <v>46</v>
      </c>
      <c r="L32" s="2" t="s">
        <v>90</v>
      </c>
      <c r="M32" s="2" t="s">
        <v>128</v>
      </c>
      <c r="N32" s="2" t="s">
        <v>68</v>
      </c>
      <c r="O32" s="2" t="b">
        <v>0</v>
      </c>
      <c r="P32" s="2" t="s">
        <v>362</v>
      </c>
      <c r="Q32" s="2" t="s">
        <v>363</v>
      </c>
      <c r="R32" s="2" t="s">
        <v>453</v>
      </c>
      <c r="S32" s="2" t="s">
        <v>365</v>
      </c>
    </row>
    <row r="33" spans="1:19" ht="12" customHeight="1">
      <c r="A33" s="2" t="s">
        <v>454</v>
      </c>
      <c r="B33" s="2" t="s">
        <v>447</v>
      </c>
      <c r="C33" s="3">
        <v>45750</v>
      </c>
      <c r="D33" s="2" t="s">
        <v>416</v>
      </c>
      <c r="E33" s="2" t="s">
        <v>240</v>
      </c>
      <c r="F33" s="5">
        <v>420000</v>
      </c>
      <c r="G33" s="5">
        <v>42000</v>
      </c>
      <c r="H33" s="5">
        <v>462000</v>
      </c>
      <c r="I33" s="7"/>
      <c r="J33" s="2"/>
      <c r="K33" s="2" t="s">
        <v>142</v>
      </c>
      <c r="L33" s="2" t="s">
        <v>229</v>
      </c>
      <c r="M33" s="2" t="s">
        <v>203</v>
      </c>
      <c r="N33" s="2" t="s">
        <v>145</v>
      </c>
      <c r="O33" s="2" t="b">
        <v>0</v>
      </c>
      <c r="P33" s="2" t="s">
        <v>142</v>
      </c>
      <c r="Q33" s="2" t="s">
        <v>348</v>
      </c>
      <c r="R33" s="2" t="s">
        <v>455</v>
      </c>
      <c r="S33" s="2" t="s">
        <v>359</v>
      </c>
    </row>
    <row r="34" spans="1:19" ht="12" customHeight="1">
      <c r="A34" s="2" t="s">
        <v>456</v>
      </c>
      <c r="B34" s="2" t="s">
        <v>447</v>
      </c>
      <c r="C34" s="3">
        <v>45757</v>
      </c>
      <c r="D34" s="2" t="s">
        <v>15</v>
      </c>
      <c r="E34" s="2" t="s">
        <v>411</v>
      </c>
      <c r="F34" s="5">
        <v>2100000</v>
      </c>
      <c r="G34" s="5">
        <v>210000</v>
      </c>
      <c r="H34" s="5">
        <v>2310000</v>
      </c>
      <c r="I34" s="7">
        <v>6100</v>
      </c>
      <c r="J34" s="2" t="s">
        <v>353</v>
      </c>
      <c r="K34" s="2" t="s">
        <v>17</v>
      </c>
      <c r="L34" s="2" t="s">
        <v>18</v>
      </c>
      <c r="M34" s="2" t="s">
        <v>19</v>
      </c>
      <c r="N34" s="2" t="s">
        <v>21</v>
      </c>
      <c r="O34" s="2" t="b">
        <v>0</v>
      </c>
      <c r="P34" s="2" t="s">
        <v>354</v>
      </c>
      <c r="Q34" s="2" t="s">
        <v>348</v>
      </c>
      <c r="R34" s="2" t="s">
        <v>411</v>
      </c>
      <c r="S34" s="2" t="s">
        <v>350</v>
      </c>
    </row>
    <row r="35" spans="1:19" ht="12" customHeight="1">
      <c r="A35" s="2" t="s">
        <v>457</v>
      </c>
      <c r="B35" s="2" t="s">
        <v>447</v>
      </c>
      <c r="C35" s="3">
        <v>45764</v>
      </c>
      <c r="D35" s="2" t="s">
        <v>367</v>
      </c>
      <c r="E35" s="2" t="s">
        <v>60</v>
      </c>
      <c r="F35" s="5">
        <v>120000</v>
      </c>
      <c r="G35" s="5">
        <v>12000</v>
      </c>
      <c r="H35" s="5">
        <v>132000</v>
      </c>
      <c r="I35" s="7">
        <v>70</v>
      </c>
      <c r="J35" s="2" t="s">
        <v>346</v>
      </c>
      <c r="K35" s="2" t="s">
        <v>46</v>
      </c>
      <c r="L35" s="2" t="s">
        <v>47</v>
      </c>
      <c r="M35" s="2" t="s">
        <v>60</v>
      </c>
      <c r="N35" s="2" t="s">
        <v>21</v>
      </c>
      <c r="O35" s="2" t="b">
        <v>0</v>
      </c>
      <c r="P35" s="2" t="s">
        <v>354</v>
      </c>
      <c r="Q35" s="2" t="s">
        <v>348</v>
      </c>
      <c r="R35" s="2" t="s">
        <v>458</v>
      </c>
      <c r="S35" s="2" t="s">
        <v>350</v>
      </c>
    </row>
    <row r="36" spans="1:19" ht="12" customHeight="1">
      <c r="A36" s="2" t="s">
        <v>459</v>
      </c>
      <c r="B36" s="2" t="s">
        <v>460</v>
      </c>
      <c r="C36" s="3">
        <v>45722</v>
      </c>
      <c r="D36" s="2" t="s">
        <v>15</v>
      </c>
      <c r="E36" s="2" t="s">
        <v>426</v>
      </c>
      <c r="F36" s="5">
        <v>640000</v>
      </c>
      <c r="G36" s="5">
        <v>64000</v>
      </c>
      <c r="H36" s="5">
        <v>704000</v>
      </c>
      <c r="I36" s="7">
        <v>1900</v>
      </c>
      <c r="J36" s="2" t="s">
        <v>353</v>
      </c>
      <c r="K36" s="2" t="s">
        <v>17</v>
      </c>
      <c r="L36" s="2" t="s">
        <v>18</v>
      </c>
      <c r="M36" s="2" t="s">
        <v>19</v>
      </c>
      <c r="N36" s="2" t="s">
        <v>21</v>
      </c>
      <c r="O36" s="2" t="b">
        <v>0</v>
      </c>
      <c r="P36" s="2" t="s">
        <v>354</v>
      </c>
      <c r="Q36" s="2" t="s">
        <v>348</v>
      </c>
      <c r="R36" s="2" t="s">
        <v>426</v>
      </c>
      <c r="S36" s="2" t="s">
        <v>350</v>
      </c>
    </row>
    <row r="37" spans="1:19" ht="12" customHeight="1">
      <c r="A37" s="2" t="s">
        <v>461</v>
      </c>
      <c r="B37" s="2" t="s">
        <v>460</v>
      </c>
      <c r="C37" s="3">
        <v>45734</v>
      </c>
      <c r="D37" s="2" t="s">
        <v>385</v>
      </c>
      <c r="E37" s="2" t="s">
        <v>74</v>
      </c>
      <c r="F37" s="5">
        <v>155000</v>
      </c>
      <c r="G37" s="5">
        <v>15500</v>
      </c>
      <c r="H37" s="5">
        <v>170500</v>
      </c>
      <c r="I37" s="7">
        <v>80</v>
      </c>
      <c r="J37" s="2" t="s">
        <v>387</v>
      </c>
      <c r="K37" s="2" t="s">
        <v>46</v>
      </c>
      <c r="L37" s="2" t="s">
        <v>90</v>
      </c>
      <c r="M37" s="2" t="s">
        <v>74</v>
      </c>
      <c r="N37" s="2" t="s">
        <v>503</v>
      </c>
      <c r="O37" s="2" t="b">
        <v>0</v>
      </c>
      <c r="P37" s="2" t="s">
        <v>362</v>
      </c>
      <c r="Q37" s="2" t="s">
        <v>363</v>
      </c>
      <c r="R37" s="2" t="s">
        <v>504</v>
      </c>
      <c r="S37" s="2" t="s">
        <v>365</v>
      </c>
    </row>
    <row r="38" spans="1:19" ht="12" customHeight="1">
      <c r="A38" s="2" t="s">
        <v>462</v>
      </c>
      <c r="B38" s="2" t="s">
        <v>460</v>
      </c>
      <c r="C38" s="3">
        <v>45745</v>
      </c>
      <c r="D38" s="2" t="s">
        <v>392</v>
      </c>
      <c r="E38" s="2" t="s">
        <v>463</v>
      </c>
      <c r="F38" s="5">
        <v>240000</v>
      </c>
      <c r="G38" s="5">
        <v>24000</v>
      </c>
      <c r="H38" s="5">
        <v>264000</v>
      </c>
      <c r="I38" s="7"/>
      <c r="J38" s="2"/>
      <c r="K38" s="2" t="s">
        <v>46</v>
      </c>
      <c r="L38" s="2" t="s">
        <v>47</v>
      </c>
      <c r="M38" s="2" t="s">
        <v>82</v>
      </c>
      <c r="N38" s="2" t="s">
        <v>68</v>
      </c>
      <c r="O38" s="2" t="b">
        <v>0</v>
      </c>
      <c r="P38" s="2" t="s">
        <v>362</v>
      </c>
      <c r="Q38" s="2" t="s">
        <v>363</v>
      </c>
      <c r="R38" s="2" t="s">
        <v>464</v>
      </c>
      <c r="S38" s="2" t="s">
        <v>365</v>
      </c>
    </row>
    <row r="39" spans="1:19" ht="12" customHeight="1">
      <c r="A39" s="2" t="s">
        <v>465</v>
      </c>
      <c r="B39" s="2" t="s">
        <v>460</v>
      </c>
      <c r="C39" s="3">
        <v>45754</v>
      </c>
      <c r="D39" s="2" t="s">
        <v>357</v>
      </c>
      <c r="E39" s="2" t="s">
        <v>466</v>
      </c>
      <c r="F39" s="5">
        <v>76000</v>
      </c>
      <c r="G39" s="5">
        <v>7600</v>
      </c>
      <c r="H39" s="5">
        <v>83600</v>
      </c>
      <c r="I39" s="7"/>
      <c r="J39" s="2"/>
      <c r="K39" s="2" t="s">
        <v>142</v>
      </c>
      <c r="L39" s="2" t="s">
        <v>229</v>
      </c>
      <c r="M39" s="2" t="s">
        <v>203</v>
      </c>
      <c r="N39" s="2" t="s">
        <v>145</v>
      </c>
      <c r="O39" s="2" t="b">
        <v>0</v>
      </c>
      <c r="P39" s="2" t="s">
        <v>142</v>
      </c>
      <c r="Q39" s="2" t="s">
        <v>348</v>
      </c>
      <c r="R39" s="2" t="s">
        <v>467</v>
      </c>
      <c r="S39" s="2" t="s">
        <v>359</v>
      </c>
    </row>
    <row r="40" spans="1:19" ht="12" customHeight="1">
      <c r="A40" s="2" t="s">
        <v>468</v>
      </c>
      <c r="B40" s="2" t="s">
        <v>460</v>
      </c>
      <c r="C40" s="3">
        <v>45763</v>
      </c>
      <c r="D40" s="2" t="s">
        <v>15</v>
      </c>
      <c r="E40" s="2" t="s">
        <v>469</v>
      </c>
      <c r="F40" s="5">
        <v>710000</v>
      </c>
      <c r="G40" s="5">
        <v>71000</v>
      </c>
      <c r="H40" s="5">
        <v>781000</v>
      </c>
      <c r="I40" s="7">
        <v>2100</v>
      </c>
      <c r="J40" s="2" t="s">
        <v>353</v>
      </c>
      <c r="K40" s="2" t="s">
        <v>17</v>
      </c>
      <c r="L40" s="2" t="s">
        <v>18</v>
      </c>
      <c r="M40" s="2" t="s">
        <v>19</v>
      </c>
      <c r="N40" s="2" t="s">
        <v>21</v>
      </c>
      <c r="O40" s="2" t="b">
        <v>0</v>
      </c>
      <c r="P40" s="2" t="s">
        <v>354</v>
      </c>
      <c r="Q40" s="2" t="s">
        <v>348</v>
      </c>
      <c r="R40" s="2" t="s">
        <v>451</v>
      </c>
      <c r="S40" s="2" t="s">
        <v>350</v>
      </c>
    </row>
    <row r="41" spans="1:19" ht="12" customHeight="1">
      <c r="A41" s="2" t="s">
        <v>470</v>
      </c>
      <c r="B41" s="2" t="s">
        <v>460</v>
      </c>
      <c r="C41" s="3">
        <v>45771</v>
      </c>
      <c r="D41" s="2" t="s">
        <v>374</v>
      </c>
      <c r="E41" s="2" t="s">
        <v>375</v>
      </c>
      <c r="F41" s="5">
        <v>115000</v>
      </c>
      <c r="G41" s="5">
        <v>11500</v>
      </c>
      <c r="H41" s="5">
        <v>126500</v>
      </c>
      <c r="I41" s="7">
        <v>95</v>
      </c>
      <c r="J41" s="2" t="s">
        <v>376</v>
      </c>
      <c r="K41" s="2" t="s">
        <v>46</v>
      </c>
      <c r="L41" s="2" t="s">
        <v>90</v>
      </c>
      <c r="M41" s="2" t="s">
        <v>87</v>
      </c>
      <c r="N41" s="2" t="s">
        <v>21</v>
      </c>
      <c r="O41" s="2" t="b">
        <v>0</v>
      </c>
      <c r="P41" s="2" t="s">
        <v>354</v>
      </c>
      <c r="Q41" s="2" t="s">
        <v>348</v>
      </c>
      <c r="R41" s="2" t="s">
        <v>471</v>
      </c>
      <c r="S41" s="2" t="s">
        <v>350</v>
      </c>
    </row>
    <row r="42" spans="1:19">
      <c r="A42" t="s">
        <v>566</v>
      </c>
      <c r="B42" t="s">
        <v>460</v>
      </c>
      <c r="C42" s="4">
        <v>45738</v>
      </c>
      <c r="D42" s="18" t="s">
        <v>367</v>
      </c>
      <c r="E42" s="18" t="s">
        <v>567</v>
      </c>
      <c r="F42" s="6">
        <v>280000</v>
      </c>
      <c r="G42" s="6">
        <v>28000</v>
      </c>
      <c r="H42" s="6">
        <v>308000</v>
      </c>
      <c r="I42" s="8"/>
      <c r="K42" t="s">
        <v>46</v>
      </c>
      <c r="L42" s="18" t="s">
        <v>47</v>
      </c>
      <c r="M42" s="18" t="s">
        <v>48</v>
      </c>
      <c r="N42" t="s">
        <v>34</v>
      </c>
      <c r="O42" t="b">
        <v>0</v>
      </c>
      <c r="P42" s="18" t="s">
        <v>568</v>
      </c>
      <c r="Q42" t="b">
        <v>0</v>
      </c>
      <c r="R42" s="18" t="s">
        <v>569</v>
      </c>
      <c r="S42" s="18" t="s">
        <v>570</v>
      </c>
    </row>
    <row r="43" spans="1:19">
      <c r="C43" s="4"/>
      <c r="F43" s="6"/>
      <c r="G43" s="6"/>
      <c r="H43" s="6"/>
      <c r="I43" s="8"/>
    </row>
    <row r="44" spans="1:19">
      <c r="C44" s="4"/>
      <c r="F44" s="6"/>
      <c r="G44" s="6"/>
      <c r="H44" s="6"/>
      <c r="I44" s="8"/>
    </row>
    <row r="45" spans="1:19">
      <c r="C45" s="4"/>
      <c r="F45" s="6"/>
      <c r="G45" s="6"/>
      <c r="H45" s="6"/>
      <c r="I45" s="8"/>
    </row>
    <row r="46" spans="1:19">
      <c r="C46" s="4"/>
      <c r="F46" s="6"/>
      <c r="G46" s="6"/>
      <c r="H46" s="6"/>
      <c r="I46" s="8"/>
    </row>
    <row r="47" spans="1:19">
      <c r="C47" s="4"/>
      <c r="F47" s="6"/>
      <c r="G47" s="6"/>
      <c r="H47" s="6"/>
      <c r="I47" s="8"/>
    </row>
    <row r="48" spans="1:19">
      <c r="C48" s="4"/>
      <c r="F48" s="6"/>
      <c r="G48" s="6"/>
      <c r="H48" s="6"/>
      <c r="I48" s="8"/>
    </row>
    <row r="49" spans="3:9">
      <c r="C49" s="4"/>
      <c r="F49" s="6"/>
      <c r="G49" s="6"/>
      <c r="H49" s="6"/>
      <c r="I49" s="8"/>
    </row>
    <row r="50" spans="3:9">
      <c r="C50" s="4"/>
      <c r="F50" s="6"/>
      <c r="G50" s="6"/>
      <c r="H50" s="6"/>
      <c r="I50" s="8"/>
    </row>
    <row r="51" spans="3:9">
      <c r="C51" s="4"/>
      <c r="F51" s="6"/>
      <c r="G51" s="6"/>
      <c r="H51" s="6"/>
      <c r="I51" s="8"/>
    </row>
    <row r="52" spans="3:9">
      <c r="C52" s="4"/>
      <c r="F52" s="6"/>
      <c r="G52" s="6"/>
      <c r="H52" s="6"/>
      <c r="I52" s="8"/>
    </row>
    <row r="53" spans="3:9">
      <c r="C53" s="4"/>
      <c r="F53" s="6"/>
      <c r="G53" s="6"/>
      <c r="H53" s="6"/>
      <c r="I53" s="8"/>
    </row>
    <row r="54" spans="3:9">
      <c r="C54" s="4"/>
      <c r="F54" s="6"/>
      <c r="G54" s="6"/>
      <c r="H54" s="6"/>
      <c r="I54" s="8"/>
    </row>
    <row r="55" spans="3:9">
      <c r="C55" s="4"/>
      <c r="F55" s="6"/>
      <c r="G55" s="6"/>
      <c r="H55" s="6"/>
      <c r="I55" s="8"/>
    </row>
    <row r="56" spans="3:9">
      <c r="C56" s="4"/>
      <c r="F56" s="6"/>
      <c r="G56" s="6"/>
      <c r="H56" s="6"/>
      <c r="I56" s="8"/>
    </row>
    <row r="57" spans="3:9">
      <c r="C57" s="4"/>
      <c r="F57" s="6"/>
      <c r="G57" s="6"/>
      <c r="H57" s="6"/>
      <c r="I57" s="8"/>
    </row>
    <row r="58" spans="3:9">
      <c r="C58" s="4"/>
      <c r="F58" s="6"/>
      <c r="G58" s="6"/>
      <c r="H58" s="6"/>
      <c r="I58" s="8"/>
    </row>
    <row r="59" spans="3:9">
      <c r="C59" s="4"/>
      <c r="F59" s="6"/>
      <c r="G59" s="6"/>
      <c r="H59" s="6"/>
      <c r="I59" s="8"/>
    </row>
    <row r="60" spans="3:9">
      <c r="C60" s="4"/>
      <c r="F60" s="6"/>
      <c r="G60" s="6"/>
      <c r="H60" s="6"/>
      <c r="I60" s="8"/>
    </row>
    <row r="61" spans="3:9">
      <c r="C61" s="4"/>
      <c r="F61" s="6"/>
      <c r="G61" s="6"/>
      <c r="H61" s="6"/>
      <c r="I61" s="8"/>
    </row>
    <row r="62" spans="3:9">
      <c r="C62" s="4"/>
      <c r="F62" s="6"/>
      <c r="G62" s="6"/>
      <c r="H62" s="6"/>
      <c r="I62" s="8"/>
    </row>
    <row r="63" spans="3:9">
      <c r="C63" s="4"/>
      <c r="F63" s="6"/>
      <c r="G63" s="6"/>
      <c r="H63" s="6"/>
      <c r="I63" s="8"/>
    </row>
    <row r="64" spans="3:9">
      <c r="C64" s="4"/>
      <c r="F64" s="6"/>
      <c r="G64" s="6"/>
      <c r="H64" s="6"/>
      <c r="I64" s="8"/>
    </row>
    <row r="65" spans="3:9">
      <c r="C65" s="4"/>
      <c r="F65" s="6"/>
      <c r="G65" s="6"/>
      <c r="H65" s="6"/>
      <c r="I65" s="8"/>
    </row>
    <row r="66" spans="3:9">
      <c r="C66" s="4"/>
      <c r="F66" s="6"/>
      <c r="G66" s="6"/>
      <c r="H66" s="6"/>
      <c r="I66" s="8"/>
    </row>
    <row r="67" spans="3:9">
      <c r="C67" s="4"/>
      <c r="F67" s="6"/>
      <c r="G67" s="6"/>
      <c r="H67" s="6"/>
      <c r="I67" s="8"/>
    </row>
    <row r="68" spans="3:9">
      <c r="C68" s="4"/>
      <c r="F68" s="6"/>
      <c r="G68" s="6"/>
      <c r="H68" s="6"/>
      <c r="I68" s="8"/>
    </row>
    <row r="69" spans="3:9">
      <c r="C69" s="4"/>
      <c r="F69" s="6"/>
      <c r="G69" s="6"/>
      <c r="H69" s="6"/>
      <c r="I69" s="8"/>
    </row>
    <row r="70" spans="3:9">
      <c r="C70" s="4"/>
      <c r="F70" s="6"/>
      <c r="G70" s="6"/>
      <c r="H70" s="6"/>
      <c r="I70" s="8"/>
    </row>
    <row r="71" spans="3:9">
      <c r="C71" s="4"/>
      <c r="F71" s="6"/>
      <c r="G71" s="6"/>
      <c r="H71" s="6"/>
      <c r="I71" s="8"/>
    </row>
    <row r="72" spans="3:9">
      <c r="C72" s="4"/>
      <c r="F72" s="6"/>
      <c r="G72" s="6"/>
      <c r="H72" s="6"/>
      <c r="I72" s="8"/>
    </row>
    <row r="73" spans="3:9">
      <c r="C73" s="4"/>
      <c r="F73" s="6"/>
      <c r="G73" s="6"/>
      <c r="H73" s="6"/>
      <c r="I73" s="8"/>
    </row>
    <row r="74" spans="3:9">
      <c r="C74" s="4"/>
      <c r="F74" s="6"/>
      <c r="G74" s="6"/>
      <c r="H74" s="6"/>
      <c r="I74" s="8"/>
    </row>
    <row r="75" spans="3:9">
      <c r="C75" s="4"/>
      <c r="F75" s="6"/>
      <c r="G75" s="6"/>
      <c r="H75" s="6"/>
      <c r="I75" s="8"/>
    </row>
    <row r="76" spans="3:9">
      <c r="C76" s="4"/>
      <c r="F76" s="6"/>
      <c r="G76" s="6"/>
      <c r="H76" s="6"/>
      <c r="I76" s="8"/>
    </row>
    <row r="77" spans="3:9">
      <c r="C77" s="4"/>
      <c r="F77" s="6"/>
      <c r="G77" s="6"/>
      <c r="H77" s="6"/>
      <c r="I77" s="8"/>
    </row>
    <row r="78" spans="3:9">
      <c r="C78" s="4"/>
      <c r="F78" s="6"/>
      <c r="G78" s="6"/>
      <c r="H78" s="6"/>
      <c r="I78" s="8"/>
    </row>
    <row r="79" spans="3:9">
      <c r="C79" s="4"/>
      <c r="F79" s="6"/>
      <c r="G79" s="6"/>
      <c r="H79" s="6"/>
      <c r="I79" s="8"/>
    </row>
    <row r="80" spans="3:9">
      <c r="C80" s="4"/>
      <c r="F80" s="6"/>
      <c r="G80" s="6"/>
      <c r="H80" s="6"/>
      <c r="I80" s="8"/>
    </row>
    <row r="81" spans="3:9">
      <c r="C81" s="4"/>
      <c r="F81" s="6"/>
      <c r="G81" s="6"/>
      <c r="H81" s="6"/>
      <c r="I81" s="8"/>
    </row>
    <row r="82" spans="3:9">
      <c r="C82" s="4"/>
      <c r="F82" s="6"/>
      <c r="G82" s="6"/>
      <c r="H82" s="6"/>
      <c r="I82" s="8"/>
    </row>
    <row r="83" spans="3:9">
      <c r="C83" s="4"/>
      <c r="F83" s="6"/>
      <c r="G83" s="6"/>
      <c r="H83" s="6"/>
      <c r="I83" s="8"/>
    </row>
    <row r="84" spans="3:9">
      <c r="C84" s="4"/>
      <c r="F84" s="6"/>
      <c r="G84" s="6"/>
      <c r="H84" s="6"/>
      <c r="I84" s="8"/>
    </row>
    <row r="85" spans="3:9">
      <c r="C85" s="4"/>
      <c r="F85" s="6"/>
      <c r="G85" s="6"/>
      <c r="H85" s="6"/>
      <c r="I85" s="8"/>
    </row>
    <row r="86" spans="3:9">
      <c r="C86" s="4"/>
      <c r="F86" s="6"/>
      <c r="G86" s="6"/>
      <c r="H86" s="6"/>
      <c r="I86" s="8"/>
    </row>
    <row r="87" spans="3:9">
      <c r="C87" s="4"/>
      <c r="F87" s="6"/>
      <c r="G87" s="6"/>
      <c r="H87" s="6"/>
      <c r="I87" s="8"/>
    </row>
    <row r="88" spans="3:9">
      <c r="C88" s="4"/>
      <c r="F88" s="6"/>
      <c r="G88" s="6"/>
      <c r="H88" s="6"/>
      <c r="I88" s="8"/>
    </row>
    <row r="89" spans="3:9">
      <c r="C89" s="4"/>
      <c r="F89" s="6"/>
      <c r="G89" s="6"/>
      <c r="H89" s="6"/>
      <c r="I89" s="8"/>
    </row>
    <row r="90" spans="3:9">
      <c r="C90" s="4"/>
      <c r="F90" s="6"/>
      <c r="G90" s="6"/>
      <c r="H90" s="6"/>
      <c r="I90" s="8"/>
    </row>
    <row r="91" spans="3:9">
      <c r="C91" s="4"/>
      <c r="F91" s="6"/>
      <c r="G91" s="6"/>
      <c r="H91" s="6"/>
      <c r="I91" s="8"/>
    </row>
    <row r="92" spans="3:9">
      <c r="C92" s="4"/>
      <c r="F92" s="6"/>
      <c r="G92" s="6"/>
      <c r="H92" s="6"/>
      <c r="I92" s="8"/>
    </row>
    <row r="93" spans="3:9">
      <c r="C93" s="4"/>
      <c r="F93" s="6"/>
      <c r="G93" s="6"/>
      <c r="H93" s="6"/>
      <c r="I93" s="8"/>
    </row>
    <row r="94" spans="3:9">
      <c r="C94" s="4"/>
      <c r="F94" s="6"/>
      <c r="G94" s="6"/>
      <c r="H94" s="6"/>
      <c r="I94" s="8"/>
    </row>
    <row r="95" spans="3:9">
      <c r="C95" s="4"/>
      <c r="F95" s="6"/>
      <c r="G95" s="6"/>
      <c r="H95" s="6"/>
      <c r="I95" s="8"/>
    </row>
    <row r="96" spans="3:9">
      <c r="C96" s="4"/>
      <c r="F96" s="6"/>
      <c r="G96" s="6"/>
      <c r="H96" s="6"/>
      <c r="I96" s="8"/>
    </row>
    <row r="97" spans="3:9">
      <c r="C97" s="4"/>
      <c r="F97" s="6"/>
      <c r="G97" s="6"/>
      <c r="H97" s="6"/>
      <c r="I97" s="8"/>
    </row>
    <row r="98" spans="3:9">
      <c r="C98" s="4"/>
      <c r="F98" s="6"/>
      <c r="G98" s="6"/>
      <c r="H98" s="6"/>
      <c r="I98" s="8"/>
    </row>
    <row r="99" spans="3:9">
      <c r="C99" s="4"/>
      <c r="F99" s="6"/>
      <c r="G99" s="6"/>
      <c r="H99" s="6"/>
      <c r="I99" s="8"/>
    </row>
  </sheetData>
  <phoneticPr fontId="3" type="noConversion"/>
  <conditionalFormatting sqref="K2:K99">
    <cfRule type="expression" dxfId="3" priority="2">
      <formula>K2="Scope 1"</formula>
    </cfRule>
    <cfRule type="expression" dxfId="2" priority="3">
      <formula>K2="Scope 2"</formula>
    </cfRule>
    <cfRule type="expression" dxfId="1" priority="4">
      <formula>K2="제외"</formula>
    </cfRule>
  </conditionalFormatting>
  <conditionalFormatting sqref="Q2:Q99">
    <cfRule type="expression" dxfId="0" priority="1">
      <formula>Q2="TRUE"</formula>
    </cfRule>
  </conditionalFormatting>
  <dataValidations count="2">
    <dataValidation type="list" sqref="K2:K199" xr:uid="{00000000-0002-0000-0000-000000000000}">
      <formula1>"Scope 1,Scope 2,제외,검토"</formula1>
    </dataValidation>
    <dataValidation type="list" sqref="Q2:Q199" xr:uid="{00000000-0002-0000-0000-000001000000}">
      <formula1>"TRUE,FALSE"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1"/>
  <sheetViews>
    <sheetView workbookViewId="0">
      <selection activeCell="E23" sqref="E23"/>
    </sheetView>
  </sheetViews>
  <sheetFormatPr defaultRowHeight="13.8"/>
  <cols>
    <col min="1" max="1" width="5.8984375" customWidth="1"/>
    <col min="2" max="2" width="7.8984375" customWidth="1"/>
    <col min="3" max="3" width="16.3984375" customWidth="1"/>
    <col min="4" max="4" width="35" customWidth="1"/>
    <col min="5" max="5" width="26.09765625" customWidth="1"/>
    <col min="6" max="6" width="14.3984375" customWidth="1"/>
    <col min="7" max="7" width="20" customWidth="1"/>
    <col min="8" max="8" width="12.09765625" customWidth="1"/>
    <col min="9" max="9" width="9.69921875" customWidth="1"/>
    <col min="10" max="10" width="11.5" customWidth="1"/>
    <col min="11" max="12" width="13.69921875" customWidth="1"/>
    <col min="13" max="13" width="33.69921875" customWidth="1"/>
    <col min="14" max="14" width="20.59765625" customWidth="1"/>
  </cols>
  <sheetData>
    <row r="1" spans="1:14" ht="12" customHeight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</row>
    <row r="2" spans="1:14" ht="12" customHeight="1">
      <c r="A2" s="14" t="s">
        <v>14</v>
      </c>
      <c r="B2" s="14">
        <v>1</v>
      </c>
      <c r="C2" s="14" t="s">
        <v>15</v>
      </c>
      <c r="D2" s="14" t="s">
        <v>16</v>
      </c>
      <c r="E2" s="14"/>
      <c r="F2" s="14" t="s">
        <v>17</v>
      </c>
      <c r="G2" s="14" t="s">
        <v>18</v>
      </c>
      <c r="H2" s="14" t="s">
        <v>19</v>
      </c>
      <c r="I2" s="14" t="s">
        <v>20</v>
      </c>
      <c r="J2" s="14" t="b">
        <v>0</v>
      </c>
      <c r="K2" s="14" t="b">
        <v>0</v>
      </c>
      <c r="L2" s="14" t="s">
        <v>21</v>
      </c>
      <c r="M2" s="14" t="s">
        <v>22</v>
      </c>
      <c r="N2" s="14" t="s">
        <v>23</v>
      </c>
    </row>
    <row r="3" spans="1:14" ht="12" customHeight="1">
      <c r="A3" s="14" t="s">
        <v>24</v>
      </c>
      <c r="B3" s="14">
        <v>1</v>
      </c>
      <c r="C3" s="14" t="s">
        <v>25</v>
      </c>
      <c r="D3" s="14" t="s">
        <v>26</v>
      </c>
      <c r="E3" s="14" t="s">
        <v>27</v>
      </c>
      <c r="F3" s="14" t="s">
        <v>17</v>
      </c>
      <c r="G3" s="14" t="s">
        <v>18</v>
      </c>
      <c r="H3" s="14" t="s">
        <v>19</v>
      </c>
      <c r="I3" s="14" t="s">
        <v>20</v>
      </c>
      <c r="J3" s="14" t="b">
        <v>0</v>
      </c>
      <c r="K3" s="14" t="b">
        <v>0</v>
      </c>
      <c r="L3" s="14" t="s">
        <v>21</v>
      </c>
      <c r="M3" s="14" t="s">
        <v>28</v>
      </c>
      <c r="N3" s="14" t="s">
        <v>29</v>
      </c>
    </row>
    <row r="4" spans="1:14" ht="12" customHeight="1">
      <c r="A4" s="14" t="s">
        <v>30</v>
      </c>
      <c r="B4" s="14">
        <v>1</v>
      </c>
      <c r="C4" s="14" t="s">
        <v>31</v>
      </c>
      <c r="D4" s="14" t="s">
        <v>32</v>
      </c>
      <c r="E4" s="14" t="s">
        <v>33</v>
      </c>
      <c r="F4" s="14" t="s">
        <v>17</v>
      </c>
      <c r="G4" s="14" t="s">
        <v>18</v>
      </c>
      <c r="H4" s="14" t="s">
        <v>19</v>
      </c>
      <c r="I4" s="14" t="s">
        <v>20</v>
      </c>
      <c r="J4" s="14" t="b">
        <v>0</v>
      </c>
      <c r="K4" s="14" t="b">
        <v>0</v>
      </c>
      <c r="L4" s="14" t="s">
        <v>34</v>
      </c>
      <c r="M4" s="14" t="s">
        <v>35</v>
      </c>
      <c r="N4" s="14" t="s">
        <v>36</v>
      </c>
    </row>
    <row r="5" spans="1:14" ht="12" customHeight="1">
      <c r="A5" s="14" t="s">
        <v>37</v>
      </c>
      <c r="B5" s="14">
        <v>1</v>
      </c>
      <c r="C5" s="14" t="s">
        <v>38</v>
      </c>
      <c r="D5" s="14" t="s">
        <v>39</v>
      </c>
      <c r="E5" s="14" t="s">
        <v>40</v>
      </c>
      <c r="F5" s="14" t="s">
        <v>17</v>
      </c>
      <c r="G5" s="14" t="s">
        <v>18</v>
      </c>
      <c r="H5" s="14" t="s">
        <v>19</v>
      </c>
      <c r="I5" s="14" t="s">
        <v>20</v>
      </c>
      <c r="J5" s="14" t="b">
        <v>0</v>
      </c>
      <c r="K5" s="14" t="b">
        <v>0</v>
      </c>
      <c r="L5" s="14" t="s">
        <v>34</v>
      </c>
      <c r="M5" s="14" t="s">
        <v>41</v>
      </c>
      <c r="N5" s="14" t="s">
        <v>42</v>
      </c>
    </row>
    <row r="6" spans="1:14" ht="12" customHeight="1">
      <c r="A6" s="14" t="s">
        <v>43</v>
      </c>
      <c r="B6" s="14">
        <v>1</v>
      </c>
      <c r="C6" s="14" t="s">
        <v>44</v>
      </c>
      <c r="D6" s="14" t="s">
        <v>45</v>
      </c>
      <c r="E6" s="14"/>
      <c r="F6" s="14" t="s">
        <v>46</v>
      </c>
      <c r="G6" s="14" t="s">
        <v>47</v>
      </c>
      <c r="H6" s="14" t="s">
        <v>48</v>
      </c>
      <c r="I6" s="14" t="s">
        <v>20</v>
      </c>
      <c r="J6" s="14" t="b">
        <v>0</v>
      </c>
      <c r="K6" s="14" t="b">
        <v>1</v>
      </c>
      <c r="L6" s="14" t="s">
        <v>49</v>
      </c>
      <c r="M6" s="14" t="s">
        <v>50</v>
      </c>
      <c r="N6" s="14" t="s">
        <v>51</v>
      </c>
    </row>
    <row r="7" spans="1:14" ht="12" customHeight="1">
      <c r="A7" s="14" t="s">
        <v>52</v>
      </c>
      <c r="B7" s="14">
        <v>1</v>
      </c>
      <c r="C7" s="14" t="s">
        <v>53</v>
      </c>
      <c r="D7" s="14" t="s">
        <v>54</v>
      </c>
      <c r="E7" s="14"/>
      <c r="F7" s="14" t="s">
        <v>46</v>
      </c>
      <c r="G7" s="14" t="s">
        <v>47</v>
      </c>
      <c r="H7" s="14" t="s">
        <v>48</v>
      </c>
      <c r="I7" s="14" t="s">
        <v>20</v>
      </c>
      <c r="J7" s="14" t="b">
        <v>0</v>
      </c>
      <c r="K7" s="14" t="b">
        <v>0</v>
      </c>
      <c r="L7" s="14" t="s">
        <v>49</v>
      </c>
      <c r="M7" s="14" t="s">
        <v>55</v>
      </c>
      <c r="N7" s="14" t="s">
        <v>56</v>
      </c>
    </row>
    <row r="8" spans="1:14" ht="12" customHeight="1">
      <c r="A8" s="14" t="s">
        <v>57</v>
      </c>
      <c r="B8" s="14">
        <v>1</v>
      </c>
      <c r="C8" s="14" t="s">
        <v>58</v>
      </c>
      <c r="D8" s="14" t="s">
        <v>59</v>
      </c>
      <c r="E8" s="14"/>
      <c r="F8" s="14" t="s">
        <v>46</v>
      </c>
      <c r="G8" s="14" t="s">
        <v>47</v>
      </c>
      <c r="H8" s="14" t="s">
        <v>60</v>
      </c>
      <c r="I8" s="14" t="s">
        <v>20</v>
      </c>
      <c r="J8" s="14" t="b">
        <v>0</v>
      </c>
      <c r="K8" s="14" t="b">
        <v>0</v>
      </c>
      <c r="L8" s="14" t="s">
        <v>49</v>
      </c>
      <c r="M8" s="14" t="s">
        <v>61</v>
      </c>
      <c r="N8" s="14" t="s">
        <v>58</v>
      </c>
    </row>
    <row r="9" spans="1:14" ht="12" customHeight="1">
      <c r="A9" s="14" t="s">
        <v>62</v>
      </c>
      <c r="B9" s="14">
        <v>1</v>
      </c>
      <c r="C9" s="14" t="s">
        <v>63</v>
      </c>
      <c r="D9" s="14" t="s">
        <v>64</v>
      </c>
      <c r="E9" s="14" t="s">
        <v>65</v>
      </c>
      <c r="F9" s="14" t="s">
        <v>46</v>
      </c>
      <c r="G9" s="14" t="s">
        <v>47</v>
      </c>
      <c r="H9" s="14" t="s">
        <v>66</v>
      </c>
      <c r="I9" s="14" t="s">
        <v>67</v>
      </c>
      <c r="J9" s="14" t="b">
        <v>1</v>
      </c>
      <c r="K9" s="14" t="b">
        <v>0</v>
      </c>
      <c r="L9" s="14" t="s">
        <v>68</v>
      </c>
      <c r="M9" s="14" t="s">
        <v>69</v>
      </c>
      <c r="N9" s="14" t="s">
        <v>70</v>
      </c>
    </row>
    <row r="10" spans="1:14" ht="12" customHeight="1">
      <c r="A10" s="14" t="s">
        <v>71</v>
      </c>
      <c r="B10" s="14">
        <v>1</v>
      </c>
      <c r="C10" s="14" t="s">
        <v>72</v>
      </c>
      <c r="D10" s="14" t="s">
        <v>73</v>
      </c>
      <c r="E10" s="14"/>
      <c r="F10" s="14" t="s">
        <v>46</v>
      </c>
      <c r="G10" s="14" t="s">
        <v>47</v>
      </c>
      <c r="H10" s="14" t="s">
        <v>74</v>
      </c>
      <c r="I10" s="14" t="s">
        <v>67</v>
      </c>
      <c r="J10" s="14" t="b">
        <v>1</v>
      </c>
      <c r="K10" s="14" t="b">
        <v>0</v>
      </c>
      <c r="L10" s="14" t="s">
        <v>68</v>
      </c>
      <c r="M10" s="14" t="s">
        <v>75</v>
      </c>
      <c r="N10" s="14" t="s">
        <v>76</v>
      </c>
    </row>
    <row r="11" spans="1:14" ht="12" customHeight="1">
      <c r="A11" s="14" t="s">
        <v>77</v>
      </c>
      <c r="B11" s="14">
        <v>2</v>
      </c>
      <c r="C11" s="14" t="s">
        <v>78</v>
      </c>
      <c r="D11" s="14" t="s">
        <v>79</v>
      </c>
      <c r="E11" s="14" t="s">
        <v>80</v>
      </c>
      <c r="F11" s="14" t="s">
        <v>81</v>
      </c>
      <c r="G11" s="14" t="s">
        <v>82</v>
      </c>
      <c r="H11" s="14" t="s">
        <v>66</v>
      </c>
      <c r="I11" s="14" t="s">
        <v>83</v>
      </c>
      <c r="J11" s="14" t="b">
        <v>1</v>
      </c>
      <c r="K11" s="14" t="b">
        <v>0</v>
      </c>
      <c r="L11" s="14" t="s">
        <v>68</v>
      </c>
      <c r="M11" s="14" t="s">
        <v>84</v>
      </c>
      <c r="N11" s="14" t="s">
        <v>85</v>
      </c>
    </row>
    <row r="12" spans="1:14" ht="12" customHeight="1">
      <c r="A12" s="14" t="s">
        <v>86</v>
      </c>
      <c r="B12" s="14">
        <v>1</v>
      </c>
      <c r="C12" s="14" t="s">
        <v>87</v>
      </c>
      <c r="D12" s="14" t="s">
        <v>88</v>
      </c>
      <c r="E12" s="14" t="s">
        <v>89</v>
      </c>
      <c r="F12" s="14" t="s">
        <v>46</v>
      </c>
      <c r="G12" s="14" t="s">
        <v>90</v>
      </c>
      <c r="H12" s="14" t="s">
        <v>91</v>
      </c>
      <c r="I12" s="14" t="s">
        <v>20</v>
      </c>
      <c r="J12" s="14" t="b">
        <v>0</v>
      </c>
      <c r="K12" s="14" t="b">
        <v>0</v>
      </c>
      <c r="L12" s="14" t="s">
        <v>49</v>
      </c>
      <c r="M12" s="14" t="s">
        <v>92</v>
      </c>
      <c r="N12" s="14" t="s">
        <v>93</v>
      </c>
    </row>
    <row r="13" spans="1:14" ht="12" customHeight="1">
      <c r="A13" s="14" t="s">
        <v>94</v>
      </c>
      <c r="B13" s="14">
        <v>1</v>
      </c>
      <c r="C13" s="14" t="s">
        <v>95</v>
      </c>
      <c r="D13" s="14" t="s">
        <v>96</v>
      </c>
      <c r="E13" s="14"/>
      <c r="F13" s="14" t="s">
        <v>46</v>
      </c>
      <c r="G13" s="14" t="s">
        <v>90</v>
      </c>
      <c r="H13" s="14" t="s">
        <v>91</v>
      </c>
      <c r="I13" s="14" t="s">
        <v>20</v>
      </c>
      <c r="J13" s="14" t="b">
        <v>0</v>
      </c>
      <c r="K13" s="14" t="b">
        <v>0</v>
      </c>
      <c r="L13" s="14" t="s">
        <v>49</v>
      </c>
      <c r="M13" s="14" t="s">
        <v>97</v>
      </c>
      <c r="N13" s="14" t="s">
        <v>98</v>
      </c>
    </row>
    <row r="14" spans="1:14" ht="12" customHeight="1">
      <c r="A14" s="14" t="s">
        <v>99</v>
      </c>
      <c r="B14" s="14">
        <v>1</v>
      </c>
      <c r="C14" s="14" t="s">
        <v>100</v>
      </c>
      <c r="D14" s="14" t="s">
        <v>101</v>
      </c>
      <c r="E14" s="14" t="s">
        <v>102</v>
      </c>
      <c r="F14" s="14" t="s">
        <v>46</v>
      </c>
      <c r="G14" s="14" t="s">
        <v>90</v>
      </c>
      <c r="H14" s="14" t="s">
        <v>103</v>
      </c>
      <c r="I14" s="14" t="s">
        <v>83</v>
      </c>
      <c r="J14" s="14" t="b">
        <v>1</v>
      </c>
      <c r="K14" s="14" t="b">
        <v>0</v>
      </c>
      <c r="L14" s="14" t="s">
        <v>68</v>
      </c>
      <c r="M14" s="14" t="s">
        <v>104</v>
      </c>
      <c r="N14" s="14" t="s">
        <v>105</v>
      </c>
    </row>
    <row r="15" spans="1:14" ht="12" customHeight="1">
      <c r="A15" s="14" t="s">
        <v>106</v>
      </c>
      <c r="B15" s="14">
        <v>1</v>
      </c>
      <c r="C15" s="14" t="s">
        <v>107</v>
      </c>
      <c r="D15" s="14" t="s">
        <v>108</v>
      </c>
      <c r="E15" s="14"/>
      <c r="F15" s="14" t="s">
        <v>46</v>
      </c>
      <c r="G15" s="14" t="s">
        <v>90</v>
      </c>
      <c r="H15" s="14" t="s">
        <v>109</v>
      </c>
      <c r="I15" s="14" t="s">
        <v>20</v>
      </c>
      <c r="J15" s="14" t="b">
        <v>0</v>
      </c>
      <c r="K15" s="14" t="b">
        <v>0</v>
      </c>
      <c r="L15" s="14" t="s">
        <v>34</v>
      </c>
      <c r="M15" s="14" t="s">
        <v>110</v>
      </c>
      <c r="N15" s="14" t="s">
        <v>107</v>
      </c>
    </row>
    <row r="16" spans="1:14" ht="12" customHeight="1">
      <c r="A16" s="14" t="s">
        <v>111</v>
      </c>
      <c r="B16" s="14">
        <v>1</v>
      </c>
      <c r="C16" s="14" t="s">
        <v>112</v>
      </c>
      <c r="D16" s="14" t="s">
        <v>113</v>
      </c>
      <c r="E16" s="14" t="s">
        <v>102</v>
      </c>
      <c r="F16" s="14" t="s">
        <v>46</v>
      </c>
      <c r="G16" s="14" t="s">
        <v>90</v>
      </c>
      <c r="H16" s="14" t="s">
        <v>114</v>
      </c>
      <c r="I16" s="14" t="s">
        <v>83</v>
      </c>
      <c r="J16" s="14" t="b">
        <v>1</v>
      </c>
      <c r="K16" s="14" t="b">
        <v>0</v>
      </c>
      <c r="L16" s="14" t="s">
        <v>68</v>
      </c>
      <c r="M16" s="14" t="s">
        <v>69</v>
      </c>
      <c r="N16" s="14" t="s">
        <v>115</v>
      </c>
    </row>
    <row r="17" spans="1:14" ht="12" customHeight="1">
      <c r="A17" s="14" t="s">
        <v>116</v>
      </c>
      <c r="B17" s="14">
        <v>1</v>
      </c>
      <c r="C17" s="14" t="s">
        <v>117</v>
      </c>
      <c r="D17" s="14" t="s">
        <v>118</v>
      </c>
      <c r="E17" s="14"/>
      <c r="F17" s="14" t="s">
        <v>46</v>
      </c>
      <c r="G17" s="14" t="s">
        <v>90</v>
      </c>
      <c r="H17" s="14" t="s">
        <v>74</v>
      </c>
      <c r="I17" s="14" t="s">
        <v>83</v>
      </c>
      <c r="J17" s="14" t="b">
        <v>1</v>
      </c>
      <c r="K17" s="14" t="b">
        <v>0</v>
      </c>
      <c r="L17" s="14" t="s">
        <v>68</v>
      </c>
      <c r="M17" s="14" t="s">
        <v>119</v>
      </c>
      <c r="N17" s="14" t="s">
        <v>120</v>
      </c>
    </row>
    <row r="18" spans="1:14" ht="12" customHeight="1">
      <c r="A18" s="14" t="s">
        <v>121</v>
      </c>
      <c r="B18" s="14">
        <v>1</v>
      </c>
      <c r="C18" s="14" t="s">
        <v>122</v>
      </c>
      <c r="D18" s="14" t="s">
        <v>123</v>
      </c>
      <c r="E18" s="14"/>
      <c r="F18" s="14" t="s">
        <v>46</v>
      </c>
      <c r="G18" s="14" t="s">
        <v>90</v>
      </c>
      <c r="H18" s="14" t="s">
        <v>48</v>
      </c>
      <c r="I18" s="14" t="s">
        <v>20</v>
      </c>
      <c r="J18" s="14" t="b">
        <v>0</v>
      </c>
      <c r="K18" s="14" t="b">
        <v>0</v>
      </c>
      <c r="L18" s="14" t="s">
        <v>49</v>
      </c>
      <c r="M18" s="14" t="s">
        <v>97</v>
      </c>
      <c r="N18" s="14" t="s">
        <v>122</v>
      </c>
    </row>
    <row r="19" spans="1:14" ht="12" customHeight="1">
      <c r="A19" s="14" t="s">
        <v>124</v>
      </c>
      <c r="B19" s="14">
        <v>2</v>
      </c>
      <c r="C19" s="14" t="s">
        <v>125</v>
      </c>
      <c r="D19" s="14" t="s">
        <v>126</v>
      </c>
      <c r="E19" s="14" t="s">
        <v>127</v>
      </c>
      <c r="F19" s="14" t="s">
        <v>81</v>
      </c>
      <c r="G19" s="14" t="s">
        <v>128</v>
      </c>
      <c r="H19" s="14" t="s">
        <v>129</v>
      </c>
      <c r="I19" s="14" t="s">
        <v>83</v>
      </c>
      <c r="J19" s="14" t="b">
        <v>1</v>
      </c>
      <c r="K19" s="14" t="b">
        <v>0</v>
      </c>
      <c r="L19" s="14" t="s">
        <v>68</v>
      </c>
      <c r="M19" s="14" t="s">
        <v>130</v>
      </c>
      <c r="N19" s="14" t="s">
        <v>125</v>
      </c>
    </row>
    <row r="20" spans="1:14" ht="12" customHeight="1">
      <c r="A20" s="14" t="s">
        <v>131</v>
      </c>
      <c r="B20" s="14">
        <v>2</v>
      </c>
      <c r="C20" s="14" t="s">
        <v>132</v>
      </c>
      <c r="D20" s="14" t="s">
        <v>133</v>
      </c>
      <c r="E20" s="14" t="s">
        <v>134</v>
      </c>
      <c r="F20" s="14" t="s">
        <v>81</v>
      </c>
      <c r="G20" s="14" t="s">
        <v>135</v>
      </c>
      <c r="H20" s="14" t="s">
        <v>129</v>
      </c>
      <c r="I20" s="14" t="s">
        <v>83</v>
      </c>
      <c r="J20" s="14" t="b">
        <v>1</v>
      </c>
      <c r="K20" s="14" t="b">
        <v>0</v>
      </c>
      <c r="L20" s="14" t="s">
        <v>68</v>
      </c>
      <c r="M20" s="14" t="s">
        <v>136</v>
      </c>
      <c r="N20" s="14" t="s">
        <v>137</v>
      </c>
    </row>
    <row r="21" spans="1:14" ht="12" customHeight="1">
      <c r="A21" s="14" t="s">
        <v>138</v>
      </c>
      <c r="B21" s="14">
        <v>1</v>
      </c>
      <c r="C21" s="14" t="s">
        <v>139</v>
      </c>
      <c r="D21" s="14" t="s">
        <v>140</v>
      </c>
      <c r="E21" s="14" t="s">
        <v>141</v>
      </c>
      <c r="F21" s="14" t="s">
        <v>142</v>
      </c>
      <c r="G21" s="14" t="s">
        <v>143</v>
      </c>
      <c r="H21" s="14" t="s">
        <v>139</v>
      </c>
      <c r="I21" s="14" t="s">
        <v>144</v>
      </c>
      <c r="J21" s="14" t="b">
        <v>0</v>
      </c>
      <c r="K21" s="14" t="b">
        <v>0</v>
      </c>
      <c r="L21" s="14" t="s">
        <v>145</v>
      </c>
      <c r="M21" s="14" t="s">
        <v>146</v>
      </c>
      <c r="N21" s="14" t="s">
        <v>147</v>
      </c>
    </row>
    <row r="22" spans="1:14" ht="12" customHeight="1">
      <c r="A22" s="14" t="s">
        <v>148</v>
      </c>
      <c r="B22" s="14">
        <v>1</v>
      </c>
      <c r="C22" s="14" t="s">
        <v>149</v>
      </c>
      <c r="D22" s="14" t="s">
        <v>150</v>
      </c>
      <c r="E22" s="14"/>
      <c r="F22" s="14" t="s">
        <v>142</v>
      </c>
      <c r="G22" s="14" t="s">
        <v>143</v>
      </c>
      <c r="H22" s="14" t="s">
        <v>149</v>
      </c>
      <c r="I22" s="14" t="s">
        <v>144</v>
      </c>
      <c r="J22" s="14" t="b">
        <v>0</v>
      </c>
      <c r="K22" s="14" t="b">
        <v>0</v>
      </c>
      <c r="L22" s="14" t="s">
        <v>145</v>
      </c>
      <c r="M22" s="14" t="s">
        <v>151</v>
      </c>
      <c r="N22" s="14" t="s">
        <v>152</v>
      </c>
    </row>
    <row r="23" spans="1:14" ht="12" customHeight="1">
      <c r="A23" s="14" t="s">
        <v>153</v>
      </c>
      <c r="B23" s="14">
        <v>1</v>
      </c>
      <c r="C23" s="14" t="s">
        <v>154</v>
      </c>
      <c r="D23" s="14" t="s">
        <v>155</v>
      </c>
      <c r="E23" s="14"/>
      <c r="F23" s="14" t="s">
        <v>142</v>
      </c>
      <c r="G23" s="14" t="s">
        <v>143</v>
      </c>
      <c r="H23" s="14" t="s">
        <v>154</v>
      </c>
      <c r="I23" s="14" t="s">
        <v>144</v>
      </c>
      <c r="J23" s="14" t="b">
        <v>0</v>
      </c>
      <c r="K23" s="14" t="b">
        <v>0</v>
      </c>
      <c r="L23" s="14" t="s">
        <v>145</v>
      </c>
      <c r="M23" s="14" t="s">
        <v>156</v>
      </c>
      <c r="N23" s="14" t="s">
        <v>157</v>
      </c>
    </row>
    <row r="24" spans="1:14" ht="12" customHeight="1">
      <c r="A24" s="14" t="s">
        <v>158</v>
      </c>
      <c r="B24" s="14">
        <v>2</v>
      </c>
      <c r="C24" s="14" t="s">
        <v>159</v>
      </c>
      <c r="D24" s="14" t="s">
        <v>160</v>
      </c>
      <c r="E24" s="14" t="s">
        <v>161</v>
      </c>
      <c r="F24" s="14" t="s">
        <v>81</v>
      </c>
      <c r="G24" s="14" t="s">
        <v>162</v>
      </c>
      <c r="H24" s="14" t="s">
        <v>163</v>
      </c>
      <c r="I24" s="14" t="s">
        <v>83</v>
      </c>
      <c r="J24" s="14" t="b">
        <v>1</v>
      </c>
      <c r="K24" s="14" t="b">
        <v>1</v>
      </c>
      <c r="L24" s="14" t="s">
        <v>68</v>
      </c>
      <c r="M24" s="14" t="s">
        <v>164</v>
      </c>
      <c r="N24" s="14" t="s">
        <v>165</v>
      </c>
    </row>
    <row r="25" spans="1:14" ht="12" customHeight="1">
      <c r="A25" s="14" t="s">
        <v>166</v>
      </c>
      <c r="B25" s="14">
        <v>1</v>
      </c>
      <c r="C25" s="14" t="s">
        <v>167</v>
      </c>
      <c r="D25" s="14" t="s">
        <v>168</v>
      </c>
      <c r="E25" s="14"/>
      <c r="F25" s="14" t="s">
        <v>46</v>
      </c>
      <c r="G25" s="14" t="s">
        <v>90</v>
      </c>
      <c r="H25" s="14" t="s">
        <v>167</v>
      </c>
      <c r="I25" s="14" t="s">
        <v>83</v>
      </c>
      <c r="J25" s="14" t="b">
        <v>1</v>
      </c>
      <c r="K25" s="14" t="b">
        <v>0</v>
      </c>
      <c r="L25" s="14" t="s">
        <v>68</v>
      </c>
      <c r="M25" s="14" t="s">
        <v>169</v>
      </c>
      <c r="N25" s="14" t="s">
        <v>170</v>
      </c>
    </row>
    <row r="26" spans="1:14" ht="12" customHeight="1">
      <c r="A26" s="14" t="s">
        <v>171</v>
      </c>
      <c r="B26" s="14">
        <v>1</v>
      </c>
      <c r="C26" s="14" t="s">
        <v>172</v>
      </c>
      <c r="D26" s="14" t="s">
        <v>173</v>
      </c>
      <c r="E26" s="14"/>
      <c r="F26" s="14" t="s">
        <v>46</v>
      </c>
      <c r="G26" s="14" t="s">
        <v>90</v>
      </c>
      <c r="H26" s="14" t="s">
        <v>74</v>
      </c>
      <c r="I26" s="14" t="s">
        <v>83</v>
      </c>
      <c r="J26" s="14" t="b">
        <v>1</v>
      </c>
      <c r="K26" s="14" t="b">
        <v>0</v>
      </c>
      <c r="L26" s="14" t="s">
        <v>68</v>
      </c>
      <c r="M26" s="14" t="s">
        <v>174</v>
      </c>
      <c r="N26" s="14" t="s">
        <v>172</v>
      </c>
    </row>
    <row r="27" spans="1:14" ht="12" customHeight="1">
      <c r="A27" s="14" t="s">
        <v>175</v>
      </c>
      <c r="B27" s="14">
        <v>2</v>
      </c>
      <c r="C27" s="14" t="s">
        <v>176</v>
      </c>
      <c r="D27" s="14" t="s">
        <v>177</v>
      </c>
      <c r="E27" s="14" t="s">
        <v>178</v>
      </c>
      <c r="F27" s="14" t="s">
        <v>81</v>
      </c>
      <c r="G27" s="14" t="s">
        <v>179</v>
      </c>
      <c r="H27" s="14" t="s">
        <v>163</v>
      </c>
      <c r="I27" s="14" t="s">
        <v>83</v>
      </c>
      <c r="J27" s="14" t="b">
        <v>1</v>
      </c>
      <c r="K27" s="14" t="b">
        <v>0</v>
      </c>
      <c r="L27" s="14" t="s">
        <v>68</v>
      </c>
      <c r="M27" s="14" t="s">
        <v>180</v>
      </c>
      <c r="N27" s="14" t="s">
        <v>181</v>
      </c>
    </row>
    <row r="28" spans="1:14" ht="12" customHeight="1">
      <c r="A28" s="14" t="s">
        <v>182</v>
      </c>
      <c r="B28" s="14">
        <v>2</v>
      </c>
      <c r="C28" s="14" t="s">
        <v>183</v>
      </c>
      <c r="D28" s="14" t="s">
        <v>184</v>
      </c>
      <c r="E28" s="14" t="s">
        <v>185</v>
      </c>
      <c r="F28" s="14" t="s">
        <v>81</v>
      </c>
      <c r="G28" s="14" t="s">
        <v>185</v>
      </c>
      <c r="H28" s="14" t="s">
        <v>163</v>
      </c>
      <c r="I28" s="14" t="s">
        <v>83</v>
      </c>
      <c r="J28" s="14" t="b">
        <v>1</v>
      </c>
      <c r="K28" s="14" t="b">
        <v>1</v>
      </c>
      <c r="L28" s="14" t="s">
        <v>68</v>
      </c>
      <c r="M28" s="14" t="s">
        <v>186</v>
      </c>
      <c r="N28" s="14" t="s">
        <v>187</v>
      </c>
    </row>
    <row r="29" spans="1:14" ht="12" customHeight="1">
      <c r="A29" s="14" t="s">
        <v>188</v>
      </c>
      <c r="B29" s="14">
        <v>2</v>
      </c>
      <c r="C29" s="14" t="s">
        <v>189</v>
      </c>
      <c r="D29" s="14" t="s">
        <v>190</v>
      </c>
      <c r="E29" s="14" t="s">
        <v>191</v>
      </c>
      <c r="F29" s="14" t="s">
        <v>46</v>
      </c>
      <c r="G29" s="14" t="s">
        <v>47</v>
      </c>
      <c r="H29" s="14" t="s">
        <v>48</v>
      </c>
      <c r="I29" s="14" t="s">
        <v>20</v>
      </c>
      <c r="J29" s="14" t="b">
        <v>0</v>
      </c>
      <c r="K29" s="14" t="b">
        <v>1</v>
      </c>
      <c r="L29" s="14" t="s">
        <v>34</v>
      </c>
      <c r="M29" s="14" t="s">
        <v>192</v>
      </c>
      <c r="N29" s="14" t="s">
        <v>51</v>
      </c>
    </row>
    <row r="30" spans="1:14" ht="12" customHeight="1">
      <c r="A30" s="14" t="s">
        <v>193</v>
      </c>
      <c r="B30" s="14">
        <v>2</v>
      </c>
      <c r="C30" s="14" t="s">
        <v>194</v>
      </c>
      <c r="D30" s="14" t="s">
        <v>195</v>
      </c>
      <c r="E30" s="14" t="s">
        <v>191</v>
      </c>
      <c r="F30" s="14" t="s">
        <v>17</v>
      </c>
      <c r="G30" s="14" t="s">
        <v>18</v>
      </c>
      <c r="H30" s="14" t="s">
        <v>19</v>
      </c>
      <c r="I30" s="14" t="s">
        <v>20</v>
      </c>
      <c r="J30" s="14" t="b">
        <v>0</v>
      </c>
      <c r="K30" s="14" t="b">
        <v>1</v>
      </c>
      <c r="L30" s="14" t="s">
        <v>34</v>
      </c>
      <c r="M30" s="14" t="s">
        <v>196</v>
      </c>
      <c r="N30" s="14" t="s">
        <v>197</v>
      </c>
    </row>
    <row r="31" spans="1:14" ht="12" customHeight="1">
      <c r="A31" s="14" t="s">
        <v>198</v>
      </c>
      <c r="B31" s="14">
        <v>2</v>
      </c>
      <c r="C31" s="14" t="s">
        <v>199</v>
      </c>
      <c r="D31" s="14" t="s">
        <v>200</v>
      </c>
      <c r="E31" s="14" t="s">
        <v>201</v>
      </c>
      <c r="F31" s="14" t="s">
        <v>142</v>
      </c>
      <c r="G31" s="14" t="s">
        <v>202</v>
      </c>
      <c r="H31" s="14" t="s">
        <v>203</v>
      </c>
      <c r="I31" s="14" t="s">
        <v>144</v>
      </c>
      <c r="J31" s="14" t="b">
        <v>0</v>
      </c>
      <c r="K31" s="14" t="b">
        <v>0</v>
      </c>
      <c r="L31" s="14" t="s">
        <v>145</v>
      </c>
      <c r="M31" s="14" t="s">
        <v>204</v>
      </c>
      <c r="N31" s="14" t="s">
        <v>205</v>
      </c>
    </row>
    <row r="32" spans="1:14" ht="12" customHeight="1">
      <c r="A32" s="14" t="s">
        <v>206</v>
      </c>
      <c r="B32" s="14">
        <v>2</v>
      </c>
      <c r="C32" s="14" t="s">
        <v>207</v>
      </c>
      <c r="D32" s="14" t="s">
        <v>208</v>
      </c>
      <c r="E32" s="14"/>
      <c r="F32" s="14" t="s">
        <v>209</v>
      </c>
      <c r="G32" s="14" t="s">
        <v>210</v>
      </c>
      <c r="H32" s="14" t="s">
        <v>211</v>
      </c>
      <c r="I32" s="14" t="s">
        <v>212</v>
      </c>
      <c r="J32" s="14" t="b">
        <v>1</v>
      </c>
      <c r="K32" s="14" t="b">
        <v>0</v>
      </c>
      <c r="L32" s="14" t="s">
        <v>145</v>
      </c>
      <c r="M32" s="14" t="s">
        <v>213</v>
      </c>
      <c r="N32" s="14" t="s">
        <v>214</v>
      </c>
    </row>
    <row r="33" spans="1:14" ht="12" customHeight="1">
      <c r="A33" s="14" t="s">
        <v>215</v>
      </c>
      <c r="B33" s="14">
        <v>2</v>
      </c>
      <c r="C33" s="14" t="s">
        <v>216</v>
      </c>
      <c r="D33" s="14" t="s">
        <v>217</v>
      </c>
      <c r="E33" s="14" t="s">
        <v>218</v>
      </c>
      <c r="F33" s="14" t="s">
        <v>209</v>
      </c>
      <c r="G33" s="14" t="s">
        <v>211</v>
      </c>
      <c r="H33" s="14" t="s">
        <v>203</v>
      </c>
      <c r="I33" s="14" t="s">
        <v>212</v>
      </c>
      <c r="J33" s="14" t="b">
        <v>0</v>
      </c>
      <c r="K33" s="14" t="b">
        <v>0</v>
      </c>
      <c r="L33" s="14" t="s">
        <v>145</v>
      </c>
      <c r="M33" s="14" t="s">
        <v>219</v>
      </c>
      <c r="N33" s="14" t="s">
        <v>216</v>
      </c>
    </row>
    <row r="34" spans="1:14" ht="12" customHeight="1">
      <c r="A34" s="14" t="s">
        <v>220</v>
      </c>
      <c r="B34" s="14">
        <v>2</v>
      </c>
      <c r="C34" s="14" t="s">
        <v>221</v>
      </c>
      <c r="D34" s="14" t="s">
        <v>222</v>
      </c>
      <c r="E34" s="14"/>
      <c r="F34" s="14" t="s">
        <v>142</v>
      </c>
      <c r="G34" s="14" t="s">
        <v>223</v>
      </c>
      <c r="H34" s="14" t="s">
        <v>203</v>
      </c>
      <c r="I34" s="14" t="s">
        <v>144</v>
      </c>
      <c r="J34" s="14" t="b">
        <v>0</v>
      </c>
      <c r="K34" s="14" t="b">
        <v>0</v>
      </c>
      <c r="L34" s="14" t="s">
        <v>145</v>
      </c>
      <c r="M34" s="14" t="s">
        <v>224</v>
      </c>
      <c r="N34" s="14" t="s">
        <v>225</v>
      </c>
    </row>
    <row r="35" spans="1:14" ht="12" customHeight="1">
      <c r="A35" s="14" t="s">
        <v>226</v>
      </c>
      <c r="B35" s="14">
        <v>2</v>
      </c>
      <c r="C35" s="14" t="s">
        <v>227</v>
      </c>
      <c r="D35" s="14" t="s">
        <v>228</v>
      </c>
      <c r="E35" s="14"/>
      <c r="F35" s="14" t="s">
        <v>142</v>
      </c>
      <c r="G35" s="14" t="s">
        <v>229</v>
      </c>
      <c r="H35" s="14" t="s">
        <v>203</v>
      </c>
      <c r="I35" s="14" t="s">
        <v>144</v>
      </c>
      <c r="J35" s="14" t="b">
        <v>0</v>
      </c>
      <c r="K35" s="14" t="b">
        <v>0</v>
      </c>
      <c r="L35" s="14" t="s">
        <v>145</v>
      </c>
      <c r="M35" s="14" t="s">
        <v>230</v>
      </c>
      <c r="N35" s="14" t="s">
        <v>231</v>
      </c>
    </row>
    <row r="36" spans="1:14" ht="12" customHeight="1">
      <c r="A36" s="14" t="s">
        <v>232</v>
      </c>
      <c r="B36" s="14">
        <v>2</v>
      </c>
      <c r="C36" s="14" t="s">
        <v>233</v>
      </c>
      <c r="D36" s="14" t="s">
        <v>234</v>
      </c>
      <c r="E36" s="14"/>
      <c r="F36" s="14" t="s">
        <v>142</v>
      </c>
      <c r="G36" s="14" t="s">
        <v>229</v>
      </c>
      <c r="H36" s="14" t="s">
        <v>203</v>
      </c>
      <c r="I36" s="14" t="s">
        <v>144</v>
      </c>
      <c r="J36" s="14" t="b">
        <v>0</v>
      </c>
      <c r="K36" s="14" t="b">
        <v>0</v>
      </c>
      <c r="L36" s="14" t="s">
        <v>145</v>
      </c>
      <c r="M36" s="14" t="s">
        <v>230</v>
      </c>
      <c r="N36" s="14" t="s">
        <v>235</v>
      </c>
    </row>
    <row r="37" spans="1:14" ht="12" customHeight="1">
      <c r="A37" s="14" t="s">
        <v>236</v>
      </c>
      <c r="B37" s="14">
        <v>2</v>
      </c>
      <c r="C37" s="14" t="s">
        <v>237</v>
      </c>
      <c r="D37" s="14" t="s">
        <v>238</v>
      </c>
      <c r="E37" s="14"/>
      <c r="F37" s="14" t="s">
        <v>142</v>
      </c>
      <c r="G37" s="14" t="s">
        <v>229</v>
      </c>
      <c r="H37" s="14" t="s">
        <v>203</v>
      </c>
      <c r="I37" s="14" t="s">
        <v>144</v>
      </c>
      <c r="J37" s="14" t="b">
        <v>0</v>
      </c>
      <c r="K37" s="14" t="b">
        <v>0</v>
      </c>
      <c r="L37" s="14" t="s">
        <v>145</v>
      </c>
      <c r="M37" s="14" t="s">
        <v>239</v>
      </c>
      <c r="N37" s="14" t="s">
        <v>240</v>
      </c>
    </row>
    <row r="38" spans="1:14" ht="12" customHeight="1">
      <c r="A38" s="14" t="s">
        <v>241</v>
      </c>
      <c r="B38" s="14">
        <v>2</v>
      </c>
      <c r="C38" s="14" t="s">
        <v>242</v>
      </c>
      <c r="D38" s="14" t="s">
        <v>243</v>
      </c>
      <c r="E38" s="14"/>
      <c r="F38" s="14" t="s">
        <v>244</v>
      </c>
      <c r="G38" s="14" t="s">
        <v>245</v>
      </c>
      <c r="H38" s="14" t="s">
        <v>246</v>
      </c>
      <c r="I38" s="14" t="s">
        <v>212</v>
      </c>
      <c r="J38" s="14" t="b">
        <v>1</v>
      </c>
      <c r="K38" s="14" t="b">
        <v>0</v>
      </c>
      <c r="L38" s="14" t="s">
        <v>145</v>
      </c>
      <c r="M38" s="14" t="s">
        <v>247</v>
      </c>
      <c r="N38" s="14" t="s">
        <v>248</v>
      </c>
    </row>
    <row r="39" spans="1:14" ht="12" customHeight="1">
      <c r="A39" s="14" t="s">
        <v>249</v>
      </c>
      <c r="B39" s="14">
        <v>2</v>
      </c>
      <c r="C39" s="14" t="s">
        <v>250</v>
      </c>
      <c r="D39" s="14" t="s">
        <v>251</v>
      </c>
      <c r="E39" s="14"/>
      <c r="F39" s="14" t="s">
        <v>244</v>
      </c>
      <c r="G39" s="14" t="s">
        <v>252</v>
      </c>
      <c r="H39" s="14" t="s">
        <v>203</v>
      </c>
      <c r="I39" s="14" t="s">
        <v>212</v>
      </c>
      <c r="J39" s="14" t="b">
        <v>1</v>
      </c>
      <c r="K39" s="14" t="b">
        <v>0</v>
      </c>
      <c r="L39" s="14" t="s">
        <v>145</v>
      </c>
      <c r="M39" s="14" t="s">
        <v>253</v>
      </c>
      <c r="N39" s="14" t="s">
        <v>254</v>
      </c>
    </row>
    <row r="40" spans="1:14" ht="12" customHeight="1">
      <c r="A40" s="14" t="s">
        <v>255</v>
      </c>
      <c r="B40" s="14">
        <v>2</v>
      </c>
      <c r="C40" s="14" t="s">
        <v>256</v>
      </c>
      <c r="D40" s="14" t="s">
        <v>257</v>
      </c>
      <c r="E40" s="14"/>
      <c r="F40" s="14" t="s">
        <v>244</v>
      </c>
      <c r="G40" s="14" t="s">
        <v>258</v>
      </c>
      <c r="H40" s="14" t="s">
        <v>203</v>
      </c>
      <c r="I40" s="14" t="s">
        <v>212</v>
      </c>
      <c r="J40" s="14" t="b">
        <v>1</v>
      </c>
      <c r="K40" s="14" t="b">
        <v>0</v>
      </c>
      <c r="L40" s="14" t="s">
        <v>145</v>
      </c>
      <c r="M40" s="14" t="s">
        <v>230</v>
      </c>
      <c r="N40" s="14" t="s">
        <v>259</v>
      </c>
    </row>
    <row r="41" spans="1:14" ht="12" customHeight="1">
      <c r="A41" s="14" t="s">
        <v>260</v>
      </c>
      <c r="B41" s="14">
        <v>2</v>
      </c>
      <c r="C41" s="14" t="s">
        <v>261</v>
      </c>
      <c r="D41" s="14" t="s">
        <v>262</v>
      </c>
      <c r="E41" s="14" t="s">
        <v>263</v>
      </c>
      <c r="F41" s="14" t="s">
        <v>244</v>
      </c>
      <c r="G41" s="14" t="s">
        <v>264</v>
      </c>
      <c r="H41" s="14" t="s">
        <v>203</v>
      </c>
      <c r="I41" s="14" t="s">
        <v>212</v>
      </c>
      <c r="J41" s="14" t="b">
        <v>1</v>
      </c>
      <c r="K41" s="14" t="b">
        <v>0</v>
      </c>
      <c r="L41" s="14" t="s">
        <v>145</v>
      </c>
      <c r="M41" s="14" t="s">
        <v>265</v>
      </c>
      <c r="N41" s="14" t="s">
        <v>266</v>
      </c>
    </row>
    <row r="42" spans="1:14" ht="12" customHeight="1">
      <c r="A42" s="14" t="s">
        <v>267</v>
      </c>
      <c r="B42" s="14">
        <v>1</v>
      </c>
      <c r="C42" s="14" t="s">
        <v>268</v>
      </c>
      <c r="D42" s="14" t="s">
        <v>269</v>
      </c>
      <c r="E42" s="14"/>
      <c r="F42" s="14" t="s">
        <v>17</v>
      </c>
      <c r="G42" s="14" t="s">
        <v>18</v>
      </c>
      <c r="H42" s="14" t="s">
        <v>19</v>
      </c>
      <c r="I42" s="14" t="s">
        <v>20</v>
      </c>
      <c r="J42" s="14" t="b">
        <v>0</v>
      </c>
      <c r="K42" s="14" t="b">
        <v>0</v>
      </c>
      <c r="L42" s="14" t="s">
        <v>34</v>
      </c>
      <c r="M42" s="14" t="s">
        <v>270</v>
      </c>
      <c r="N42" s="14" t="s">
        <v>271</v>
      </c>
    </row>
    <row r="43" spans="1:14" ht="12" customHeight="1">
      <c r="A43" s="14" t="s">
        <v>272</v>
      </c>
      <c r="B43" s="14">
        <v>2</v>
      </c>
      <c r="C43" s="14" t="s">
        <v>273</v>
      </c>
      <c r="D43" s="14" t="s">
        <v>274</v>
      </c>
      <c r="E43" s="14" t="s">
        <v>275</v>
      </c>
      <c r="F43" s="14" t="s">
        <v>17</v>
      </c>
      <c r="G43" s="14" t="s">
        <v>18</v>
      </c>
      <c r="H43" s="14" t="s">
        <v>19</v>
      </c>
      <c r="I43" s="14" t="s">
        <v>83</v>
      </c>
      <c r="J43" s="14" t="b">
        <v>1</v>
      </c>
      <c r="K43" s="14" t="b">
        <v>0</v>
      </c>
      <c r="L43" s="14" t="s">
        <v>68</v>
      </c>
      <c r="M43" s="14" t="s">
        <v>276</v>
      </c>
      <c r="N43" s="14" t="s">
        <v>277</v>
      </c>
    </row>
    <row r="44" spans="1:14" ht="12" customHeight="1">
      <c r="A44" s="14" t="s">
        <v>278</v>
      </c>
      <c r="B44" s="14">
        <v>2</v>
      </c>
      <c r="C44" s="14" t="s">
        <v>279</v>
      </c>
      <c r="D44" s="14" t="s">
        <v>280</v>
      </c>
      <c r="E44" s="14"/>
      <c r="F44" s="14" t="s">
        <v>17</v>
      </c>
      <c r="G44" s="14" t="s">
        <v>18</v>
      </c>
      <c r="H44" s="14" t="s">
        <v>19</v>
      </c>
      <c r="I44" s="14" t="s">
        <v>20</v>
      </c>
      <c r="J44" s="14" t="b">
        <v>0</v>
      </c>
      <c r="K44" s="14" t="b">
        <v>0</v>
      </c>
      <c r="L44" s="14" t="s">
        <v>21</v>
      </c>
      <c r="M44" s="14" t="s">
        <v>281</v>
      </c>
      <c r="N44" s="14" t="s">
        <v>282</v>
      </c>
    </row>
    <row r="45" spans="1:14" ht="12" customHeight="1">
      <c r="A45" s="14" t="s">
        <v>283</v>
      </c>
      <c r="B45" s="14">
        <v>2</v>
      </c>
      <c r="C45" s="14" t="s">
        <v>284</v>
      </c>
      <c r="D45" s="14" t="s">
        <v>285</v>
      </c>
      <c r="E45" s="14" t="s">
        <v>286</v>
      </c>
      <c r="F45" s="14" t="s">
        <v>17</v>
      </c>
      <c r="G45" s="14" t="s">
        <v>18</v>
      </c>
      <c r="H45" s="14" t="s">
        <v>19</v>
      </c>
      <c r="I45" s="14" t="s">
        <v>20</v>
      </c>
      <c r="J45" s="14" t="b">
        <v>0</v>
      </c>
      <c r="K45" s="14" t="b">
        <v>0</v>
      </c>
      <c r="L45" s="14" t="s">
        <v>34</v>
      </c>
      <c r="M45" s="14" t="s">
        <v>287</v>
      </c>
      <c r="N45" s="14" t="s">
        <v>288</v>
      </c>
    </row>
    <row r="46" spans="1:14" ht="12" customHeight="1">
      <c r="A46" s="14" t="s">
        <v>289</v>
      </c>
      <c r="B46" s="14">
        <v>2</v>
      </c>
      <c r="C46" s="14" t="s">
        <v>290</v>
      </c>
      <c r="D46" s="14" t="s">
        <v>291</v>
      </c>
      <c r="E46" s="14" t="s">
        <v>292</v>
      </c>
      <c r="F46" s="14" t="s">
        <v>142</v>
      </c>
      <c r="G46" s="14" t="s">
        <v>223</v>
      </c>
      <c r="H46" s="14" t="s">
        <v>203</v>
      </c>
      <c r="I46" s="14" t="s">
        <v>144</v>
      </c>
      <c r="J46" s="14" t="b">
        <v>0</v>
      </c>
      <c r="K46" s="14" t="b">
        <v>0</v>
      </c>
      <c r="L46" s="14" t="s">
        <v>145</v>
      </c>
      <c r="M46" s="14" t="s">
        <v>293</v>
      </c>
      <c r="N46" s="14" t="s">
        <v>294</v>
      </c>
    </row>
    <row r="47" spans="1:14" ht="12" customHeight="1">
      <c r="A47" s="14" t="s">
        <v>295</v>
      </c>
      <c r="B47" s="14">
        <v>2</v>
      </c>
      <c r="C47" s="14" t="s">
        <v>296</v>
      </c>
      <c r="D47" s="14" t="s">
        <v>297</v>
      </c>
      <c r="E47" s="14"/>
      <c r="F47" s="14" t="s">
        <v>17</v>
      </c>
      <c r="G47" s="14" t="s">
        <v>18</v>
      </c>
      <c r="H47" s="14" t="s">
        <v>19</v>
      </c>
      <c r="I47" s="14" t="s">
        <v>20</v>
      </c>
      <c r="J47" s="14" t="b">
        <v>0</v>
      </c>
      <c r="K47" s="14" t="b">
        <v>0</v>
      </c>
      <c r="L47" s="14" t="s">
        <v>34</v>
      </c>
      <c r="M47" s="14" t="s">
        <v>298</v>
      </c>
      <c r="N47" s="14" t="s">
        <v>299</v>
      </c>
    </row>
    <row r="48" spans="1:14" ht="12" customHeight="1">
      <c r="A48" s="14" t="s">
        <v>300</v>
      </c>
      <c r="B48" s="14">
        <v>2</v>
      </c>
      <c r="C48" s="14" t="s">
        <v>301</v>
      </c>
      <c r="D48" s="14" t="s">
        <v>302</v>
      </c>
      <c r="E48" s="14"/>
      <c r="F48" s="14" t="s">
        <v>142</v>
      </c>
      <c r="G48" s="14" t="s">
        <v>301</v>
      </c>
      <c r="H48" s="14" t="s">
        <v>203</v>
      </c>
      <c r="I48" s="14" t="s">
        <v>144</v>
      </c>
      <c r="J48" s="14" t="b">
        <v>0</v>
      </c>
      <c r="K48" s="14" t="b">
        <v>0</v>
      </c>
      <c r="L48" s="14" t="s">
        <v>145</v>
      </c>
      <c r="M48" s="14" t="s">
        <v>230</v>
      </c>
      <c r="N48" s="14" t="s">
        <v>303</v>
      </c>
    </row>
    <row r="49" spans="1:14" ht="12" customHeight="1">
      <c r="A49" s="14" t="s">
        <v>304</v>
      </c>
      <c r="B49" s="14">
        <v>2</v>
      </c>
      <c r="C49" s="14" t="s">
        <v>305</v>
      </c>
      <c r="D49" s="14" t="s">
        <v>306</v>
      </c>
      <c r="E49" s="14" t="s">
        <v>307</v>
      </c>
      <c r="F49" s="14" t="s">
        <v>81</v>
      </c>
      <c r="G49" s="14" t="s">
        <v>308</v>
      </c>
      <c r="H49" s="14" t="s">
        <v>309</v>
      </c>
      <c r="I49" s="14" t="s">
        <v>83</v>
      </c>
      <c r="J49" s="14" t="b">
        <v>1</v>
      </c>
      <c r="K49" s="14" t="b">
        <v>0</v>
      </c>
      <c r="L49" s="14" t="s">
        <v>68</v>
      </c>
      <c r="M49" s="14" t="s">
        <v>310</v>
      </c>
      <c r="N49" s="14" t="s">
        <v>311</v>
      </c>
    </row>
    <row r="50" spans="1:14" ht="12" customHeight="1">
      <c r="A50" s="14" t="s">
        <v>312</v>
      </c>
      <c r="B50" s="14">
        <v>2</v>
      </c>
      <c r="C50" s="14" t="s">
        <v>313</v>
      </c>
      <c r="D50" s="14" t="s">
        <v>314</v>
      </c>
      <c r="E50" s="14" t="s">
        <v>315</v>
      </c>
      <c r="F50" s="14" t="s">
        <v>81</v>
      </c>
      <c r="G50" s="14" t="s">
        <v>316</v>
      </c>
      <c r="H50" s="14" t="s">
        <v>317</v>
      </c>
      <c r="I50" s="14" t="s">
        <v>83</v>
      </c>
      <c r="J50" s="14" t="b">
        <v>1</v>
      </c>
      <c r="K50" s="14" t="b">
        <v>0</v>
      </c>
      <c r="L50" s="14" t="s">
        <v>68</v>
      </c>
      <c r="M50" s="14" t="s">
        <v>318</v>
      </c>
      <c r="N50" s="14" t="s">
        <v>319</v>
      </c>
    </row>
    <row r="51" spans="1:14" ht="12" customHeight="1">
      <c r="A51" s="14" t="s">
        <v>320</v>
      </c>
      <c r="B51" s="14">
        <v>2</v>
      </c>
      <c r="C51" s="14" t="s">
        <v>321</v>
      </c>
      <c r="D51" s="14" t="s">
        <v>322</v>
      </c>
      <c r="E51" s="14" t="s">
        <v>323</v>
      </c>
      <c r="F51" s="14" t="s">
        <v>81</v>
      </c>
      <c r="G51" s="14" t="s">
        <v>324</v>
      </c>
      <c r="H51" s="14" t="s">
        <v>163</v>
      </c>
      <c r="I51" s="14" t="s">
        <v>83</v>
      </c>
      <c r="J51" s="14" t="b">
        <v>1</v>
      </c>
      <c r="K51" s="14" t="b">
        <v>0</v>
      </c>
      <c r="L51" s="14" t="s">
        <v>68</v>
      </c>
      <c r="M51" s="14" t="s">
        <v>325</v>
      </c>
      <c r="N51" s="14" t="s">
        <v>326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"/>
  <sheetViews>
    <sheetView workbookViewId="0">
      <selection activeCell="H3" sqref="H3"/>
    </sheetView>
  </sheetViews>
  <sheetFormatPr defaultRowHeight="13.8"/>
  <cols>
    <col min="1" max="1" width="15.59765625" customWidth="1"/>
    <col min="2" max="2" width="9.296875" customWidth="1"/>
    <col min="3" max="3" width="5.5" customWidth="1"/>
    <col min="4" max="4" width="22" customWidth="1"/>
    <col min="5" max="5" width="20.69921875" customWidth="1"/>
    <col min="6" max="6" width="7.8984375" customWidth="1"/>
    <col min="7" max="7" width="24" customWidth="1"/>
    <col min="8" max="8" width="42" customWidth="1"/>
  </cols>
  <sheetData>
    <row r="1" spans="1:8" ht="13.95" customHeight="1">
      <c r="A1" s="1" t="s">
        <v>472</v>
      </c>
      <c r="B1" s="1" t="s">
        <v>473</v>
      </c>
      <c r="C1" s="1" t="s">
        <v>336</v>
      </c>
      <c r="D1" s="1" t="s">
        <v>474</v>
      </c>
      <c r="E1" s="1" t="s">
        <v>475</v>
      </c>
      <c r="F1" s="1" t="s">
        <v>476</v>
      </c>
      <c r="G1" s="1" t="s">
        <v>477</v>
      </c>
      <c r="H1" s="1" t="s">
        <v>478</v>
      </c>
    </row>
    <row r="2" spans="1:8" ht="13.95" customHeight="1">
      <c r="A2" s="2" t="s">
        <v>48</v>
      </c>
      <c r="B2" s="2" t="s">
        <v>46</v>
      </c>
      <c r="C2" s="2" t="s">
        <v>346</v>
      </c>
      <c r="D2" s="16">
        <v>2.6160000000000001</v>
      </c>
      <c r="E2" s="9">
        <v>1308</v>
      </c>
      <c r="F2" s="2" t="s">
        <v>479</v>
      </c>
      <c r="G2" s="11" t="s">
        <v>480</v>
      </c>
      <c r="H2" s="13" t="s">
        <v>500</v>
      </c>
    </row>
    <row r="3" spans="1:8" ht="13.95" customHeight="1">
      <c r="A3" s="2" t="s">
        <v>60</v>
      </c>
      <c r="B3" s="2" t="s">
        <v>46</v>
      </c>
      <c r="C3" s="2" t="s">
        <v>346</v>
      </c>
      <c r="D3" s="16">
        <v>2.2210000000000001</v>
      </c>
      <c r="E3" s="9">
        <v>1580</v>
      </c>
      <c r="F3" s="2" t="s">
        <v>479</v>
      </c>
      <c r="G3" s="2" t="s">
        <v>480</v>
      </c>
      <c r="H3" s="13" t="s">
        <v>499</v>
      </c>
    </row>
    <row r="4" spans="1:8" ht="13.95" customHeight="1">
      <c r="A4" s="13" t="s">
        <v>87</v>
      </c>
      <c r="B4" s="2" t="s">
        <v>46</v>
      </c>
      <c r="C4" s="2" t="s">
        <v>376</v>
      </c>
      <c r="D4" s="16">
        <v>2.21</v>
      </c>
      <c r="E4" s="9">
        <v>1220</v>
      </c>
      <c r="F4" s="2" t="s">
        <v>481</v>
      </c>
      <c r="G4" s="2" t="s">
        <v>480</v>
      </c>
      <c r="H4" s="13" t="s">
        <v>501</v>
      </c>
    </row>
    <row r="5" spans="1:8" ht="13.95" customHeight="1">
      <c r="A5" s="2" t="s">
        <v>74</v>
      </c>
      <c r="B5" s="2" t="s">
        <v>46</v>
      </c>
      <c r="C5" s="2" t="s">
        <v>387</v>
      </c>
      <c r="D5" s="16">
        <v>3.722</v>
      </c>
      <c r="E5" s="9">
        <v>1700</v>
      </c>
      <c r="F5" s="2" t="s">
        <v>482</v>
      </c>
      <c r="G5" s="2" t="s">
        <v>480</v>
      </c>
      <c r="H5" s="13" t="s">
        <v>502</v>
      </c>
    </row>
    <row r="6" spans="1:8" ht="13.95" customHeight="1">
      <c r="A6" s="2" t="s">
        <v>19</v>
      </c>
      <c r="B6" s="2" t="s">
        <v>17</v>
      </c>
      <c r="C6" s="2" t="s">
        <v>353</v>
      </c>
      <c r="D6" s="16">
        <v>0.4541</v>
      </c>
      <c r="E6" s="9">
        <v>160</v>
      </c>
      <c r="F6" s="2" t="s">
        <v>483</v>
      </c>
      <c r="G6" s="2" t="s">
        <v>484</v>
      </c>
      <c r="H6" t="s">
        <v>498</v>
      </c>
    </row>
    <row r="7" spans="1:8" ht="13.95" customHeight="1">
      <c r="A7" s="2" t="s">
        <v>128</v>
      </c>
      <c r="B7" s="2" t="s">
        <v>46</v>
      </c>
      <c r="C7" s="2"/>
      <c r="D7" s="16"/>
      <c r="E7" s="9"/>
      <c r="F7" s="2"/>
      <c r="G7" s="2"/>
      <c r="H7" s="2" t="s">
        <v>485</v>
      </c>
    </row>
    <row r="8" spans="1:8" ht="13.95" customHeight="1">
      <c r="A8" s="2" t="s">
        <v>82</v>
      </c>
      <c r="B8" s="2" t="s">
        <v>46</v>
      </c>
      <c r="C8" s="2"/>
      <c r="D8" s="16"/>
      <c r="E8" s="9"/>
      <c r="F8" s="2"/>
      <c r="G8" s="2"/>
      <c r="H8" s="2" t="s">
        <v>485</v>
      </c>
    </row>
    <row r="9" spans="1:8" ht="13.95" customHeight="1">
      <c r="A9" s="2" t="s">
        <v>203</v>
      </c>
      <c r="B9" s="2" t="s">
        <v>142</v>
      </c>
      <c r="C9" s="2"/>
      <c r="D9" s="16">
        <v>0</v>
      </c>
      <c r="E9" s="9"/>
      <c r="F9" s="2"/>
      <c r="G9" s="2"/>
      <c r="H9" s="2" t="s">
        <v>486</v>
      </c>
    </row>
    <row r="10" spans="1:8">
      <c r="D10" s="10"/>
      <c r="E10" s="10"/>
    </row>
    <row r="11" spans="1:8">
      <c r="D11" s="10"/>
      <c r="E11" s="10"/>
    </row>
    <row r="12" spans="1:8">
      <c r="D12" s="10"/>
      <c r="E12" s="10"/>
    </row>
    <row r="13" spans="1:8">
      <c r="D13" s="10"/>
      <c r="E13" s="10"/>
    </row>
    <row r="14" spans="1:8">
      <c r="D14" s="10"/>
      <c r="E14" s="10"/>
    </row>
    <row r="15" spans="1:8">
      <c r="D15" s="10"/>
      <c r="E15" s="10"/>
    </row>
    <row r="16" spans="1:8">
      <c r="D16" s="10"/>
      <c r="E16" s="10"/>
    </row>
    <row r="17" spans="4:5">
      <c r="D17" s="10"/>
      <c r="E17" s="10"/>
    </row>
    <row r="18" spans="4:5">
      <c r="D18" s="10"/>
      <c r="E18" s="10"/>
    </row>
    <row r="19" spans="4:5">
      <c r="D19" s="10"/>
      <c r="E19" s="10"/>
    </row>
    <row r="20" spans="4:5">
      <c r="D20" s="10"/>
      <c r="E20" s="10"/>
    </row>
    <row r="21" spans="4:5">
      <c r="D21" s="10"/>
      <c r="E21" s="10"/>
    </row>
    <row r="22" spans="4:5">
      <c r="D22" s="10"/>
      <c r="E22" s="10"/>
    </row>
    <row r="23" spans="4:5">
      <c r="D23" s="10"/>
      <c r="E23" s="10"/>
    </row>
    <row r="24" spans="4:5">
      <c r="D24" s="10"/>
      <c r="E24" s="10"/>
    </row>
    <row r="25" spans="4:5">
      <c r="D25" s="10"/>
      <c r="E25" s="10"/>
    </row>
    <row r="26" spans="4:5">
      <c r="D26" s="10"/>
      <c r="E26" s="10"/>
    </row>
    <row r="27" spans="4:5">
      <c r="D27" s="10"/>
      <c r="E27" s="10"/>
    </row>
    <row r="28" spans="4:5">
      <c r="D28" s="10"/>
      <c r="E28" s="10"/>
    </row>
    <row r="29" spans="4:5">
      <c r="D29" s="10"/>
      <c r="E29" s="10"/>
    </row>
    <row r="30" spans="4:5">
      <c r="D30" s="10"/>
      <c r="E30" s="10"/>
    </row>
    <row r="31" spans="4:5">
      <c r="D31" s="10"/>
      <c r="E31" s="10"/>
    </row>
    <row r="32" spans="4:5">
      <c r="D32" s="10"/>
      <c r="E32" s="10"/>
    </row>
    <row r="33" spans="4:5">
      <c r="D33" s="10"/>
      <c r="E33" s="10"/>
    </row>
    <row r="34" spans="4:5">
      <c r="D34" s="10"/>
      <c r="E34" s="10"/>
    </row>
    <row r="35" spans="4:5">
      <c r="D35" s="10"/>
      <c r="E35" s="10"/>
    </row>
    <row r="36" spans="4:5">
      <c r="D36" s="10"/>
      <c r="E36" s="10"/>
    </row>
    <row r="37" spans="4:5">
      <c r="D37" s="10"/>
      <c r="E37" s="10"/>
    </row>
    <row r="38" spans="4:5">
      <c r="D38" s="10"/>
      <c r="E38" s="10"/>
    </row>
    <row r="39" spans="4:5">
      <c r="D39" s="10"/>
      <c r="E39" s="10"/>
    </row>
    <row r="40" spans="4:5">
      <c r="D40" s="10"/>
      <c r="E40" s="10"/>
    </row>
    <row r="41" spans="4:5">
      <c r="D41" s="10"/>
      <c r="E41" s="10"/>
    </row>
    <row r="42" spans="4:5">
      <c r="D42" s="10"/>
      <c r="E42" s="10"/>
    </row>
    <row r="43" spans="4:5">
      <c r="D43" s="10"/>
      <c r="E43" s="10"/>
    </row>
    <row r="44" spans="4:5">
      <c r="D44" s="10"/>
      <c r="E44" s="10"/>
    </row>
    <row r="45" spans="4:5">
      <c r="D45" s="10"/>
      <c r="E45" s="10"/>
    </row>
    <row r="46" spans="4:5">
      <c r="D46" s="10"/>
      <c r="E46" s="10"/>
    </row>
    <row r="47" spans="4:5">
      <c r="D47" s="10"/>
      <c r="E47" s="10"/>
    </row>
    <row r="48" spans="4:5">
      <c r="D48" s="10"/>
      <c r="E48" s="10"/>
    </row>
    <row r="49" spans="4:5">
      <c r="D49" s="10"/>
      <c r="E49" s="10"/>
    </row>
    <row r="50" spans="4:5">
      <c r="D50" s="10"/>
      <c r="E50" s="10"/>
    </row>
    <row r="51" spans="4:5">
      <c r="D51" s="10"/>
      <c r="E51" s="10"/>
    </row>
    <row r="52" spans="4:5">
      <c r="D52" s="10"/>
      <c r="E52" s="10"/>
    </row>
    <row r="53" spans="4:5">
      <c r="D53" s="10"/>
      <c r="E53" s="10"/>
    </row>
    <row r="54" spans="4:5">
      <c r="D54" s="10"/>
      <c r="E54" s="10"/>
    </row>
    <row r="55" spans="4:5">
      <c r="D55" s="10"/>
      <c r="E55" s="10"/>
    </row>
    <row r="56" spans="4:5">
      <c r="D56" s="10"/>
      <c r="E56" s="10"/>
    </row>
    <row r="57" spans="4:5">
      <c r="D57" s="10"/>
      <c r="E57" s="10"/>
    </row>
    <row r="58" spans="4:5">
      <c r="D58" s="10"/>
      <c r="E58" s="10"/>
    </row>
    <row r="59" spans="4:5">
      <c r="D59" s="10"/>
      <c r="E59" s="10"/>
    </row>
    <row r="60" spans="4:5">
      <c r="D60" s="10"/>
      <c r="E60" s="10"/>
    </row>
    <row r="61" spans="4:5">
      <c r="D61" s="10"/>
      <c r="E61" s="10"/>
    </row>
    <row r="62" spans="4:5">
      <c r="D62" s="10"/>
      <c r="E62" s="10"/>
    </row>
    <row r="63" spans="4:5">
      <c r="D63" s="10"/>
      <c r="E63" s="10"/>
    </row>
    <row r="64" spans="4:5">
      <c r="D64" s="10"/>
      <c r="E64" s="10"/>
    </row>
    <row r="65" spans="4:5">
      <c r="D65" s="10"/>
      <c r="E65" s="10"/>
    </row>
    <row r="66" spans="4:5">
      <c r="D66" s="10"/>
      <c r="E66" s="10"/>
    </row>
    <row r="67" spans="4:5">
      <c r="D67" s="10"/>
      <c r="E67" s="10"/>
    </row>
    <row r="68" spans="4:5">
      <c r="D68" s="10"/>
      <c r="E68" s="10"/>
    </row>
    <row r="69" spans="4:5">
      <c r="D69" s="10"/>
      <c r="E69" s="10"/>
    </row>
    <row r="70" spans="4:5">
      <c r="D70" s="10"/>
      <c r="E70" s="10"/>
    </row>
    <row r="71" spans="4:5">
      <c r="D71" s="10"/>
      <c r="E71" s="10"/>
    </row>
    <row r="72" spans="4:5">
      <c r="D72" s="10"/>
      <c r="E72" s="10"/>
    </row>
    <row r="73" spans="4:5">
      <c r="D73" s="10"/>
      <c r="E73" s="10"/>
    </row>
    <row r="74" spans="4:5">
      <c r="D74" s="10"/>
      <c r="E74" s="10"/>
    </row>
    <row r="75" spans="4:5">
      <c r="D75" s="10"/>
      <c r="E75" s="10"/>
    </row>
    <row r="76" spans="4:5">
      <c r="D76" s="10"/>
      <c r="E76" s="10"/>
    </row>
    <row r="77" spans="4:5">
      <c r="D77" s="10"/>
      <c r="E77" s="10"/>
    </row>
    <row r="78" spans="4:5">
      <c r="D78" s="10"/>
      <c r="E78" s="10"/>
    </row>
    <row r="79" spans="4:5">
      <c r="D79" s="10"/>
      <c r="E79" s="10"/>
    </row>
    <row r="80" spans="4:5">
      <c r="D80" s="10"/>
      <c r="E80" s="10"/>
    </row>
    <row r="81" spans="4:5">
      <c r="D81" s="10"/>
      <c r="E81" s="10"/>
    </row>
    <row r="82" spans="4:5">
      <c r="D82" s="10"/>
      <c r="E82" s="10"/>
    </row>
    <row r="83" spans="4:5">
      <c r="D83" s="10"/>
      <c r="E83" s="10"/>
    </row>
    <row r="84" spans="4:5">
      <c r="D84" s="10"/>
      <c r="E84" s="10"/>
    </row>
    <row r="85" spans="4:5">
      <c r="D85" s="10"/>
      <c r="E85" s="10"/>
    </row>
    <row r="86" spans="4:5">
      <c r="D86" s="10"/>
      <c r="E86" s="10"/>
    </row>
    <row r="87" spans="4:5">
      <c r="D87" s="10"/>
      <c r="E87" s="10"/>
    </row>
    <row r="88" spans="4:5">
      <c r="D88" s="10"/>
      <c r="E88" s="10"/>
    </row>
    <row r="89" spans="4:5">
      <c r="D89" s="10"/>
      <c r="E89" s="10"/>
    </row>
    <row r="90" spans="4:5">
      <c r="D90" s="10"/>
      <c r="E90" s="10"/>
    </row>
    <row r="91" spans="4:5">
      <c r="D91" s="10"/>
      <c r="E91" s="10"/>
    </row>
    <row r="92" spans="4:5">
      <c r="D92" s="10"/>
      <c r="E92" s="10"/>
    </row>
    <row r="93" spans="4:5">
      <c r="D93" s="10"/>
      <c r="E93" s="10"/>
    </row>
    <row r="94" spans="4:5">
      <c r="D94" s="10"/>
      <c r="E94" s="10"/>
    </row>
    <row r="95" spans="4:5">
      <c r="D95" s="10"/>
      <c r="E95" s="10"/>
    </row>
    <row r="96" spans="4:5">
      <c r="D96" s="10"/>
      <c r="E96" s="10"/>
    </row>
    <row r="97" spans="4:5">
      <c r="D97" s="10"/>
      <c r="E97" s="10"/>
    </row>
    <row r="98" spans="4:5">
      <c r="D98" s="10"/>
      <c r="E98" s="10"/>
    </row>
    <row r="99" spans="4:5">
      <c r="D99" s="10"/>
      <c r="E99" s="10"/>
    </row>
    <row r="100" spans="4:5">
      <c r="D100" s="10"/>
      <c r="E100" s="10"/>
    </row>
  </sheetData>
  <phoneticPr fontId="3" type="noConversion"/>
  <hyperlinks>
    <hyperlink ref="G2" r:id="rId1" xr:uid="{00000000-0004-0000-0200-000000000000}"/>
  </hyperlinks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0"/>
  <sheetViews>
    <sheetView workbookViewId="0">
      <selection activeCell="H42" sqref="H42"/>
    </sheetView>
  </sheetViews>
  <sheetFormatPr defaultRowHeight="13.8"/>
  <cols>
    <col min="1" max="1" width="5.8984375" customWidth="1"/>
    <col min="2" max="2" width="24" customWidth="1"/>
    <col min="3" max="3" width="8.69921875" customWidth="1"/>
    <col min="4" max="4" width="12" customWidth="1"/>
    <col min="5" max="5" width="10.59765625" customWidth="1"/>
    <col min="6" max="6" width="8.3984375" customWidth="1"/>
    <col min="7" max="7" width="5" customWidth="1"/>
    <col min="8" max="8" width="7.8984375" customWidth="1"/>
    <col min="9" max="9" width="16.3984375" customWidth="1"/>
    <col min="10" max="10" width="11.5" customWidth="1"/>
    <col min="11" max="12" width="36" customWidth="1"/>
  </cols>
  <sheetData>
    <row r="1" spans="1:12" ht="12" customHeight="1">
      <c r="A1" s="1" t="s">
        <v>327</v>
      </c>
      <c r="B1" s="1" t="s">
        <v>331</v>
      </c>
      <c r="C1" s="1" t="s">
        <v>487</v>
      </c>
      <c r="D1" s="1" t="s">
        <v>488</v>
      </c>
      <c r="E1" s="1" t="s">
        <v>332</v>
      </c>
      <c r="F1" s="1" t="s">
        <v>489</v>
      </c>
      <c r="G1" s="1" t="s">
        <v>336</v>
      </c>
      <c r="H1" s="1" t="s">
        <v>490</v>
      </c>
      <c r="I1" s="1" t="s">
        <v>491</v>
      </c>
      <c r="J1" s="1" t="s">
        <v>9</v>
      </c>
      <c r="K1" s="1" t="s">
        <v>492</v>
      </c>
      <c r="L1" s="12" t="s">
        <v>493</v>
      </c>
    </row>
    <row r="2" spans="1:12" ht="12" customHeight="1">
      <c r="A2" s="2" t="str">
        <f>전표_샘플!A2</f>
        <v>I001</v>
      </c>
      <c r="B2" s="2" t="str">
        <f>전표_샘플!E2</f>
        <v>지게차 경유 외 1종</v>
      </c>
      <c r="C2" s="2" t="str">
        <f>전표_샘플!K2</f>
        <v>Scope 1</v>
      </c>
      <c r="D2" s="2" t="str">
        <f>전표_샘플!M2</f>
        <v>경유</v>
      </c>
      <c r="E2" s="7">
        <f>전표_샘플!F2</f>
        <v>654000</v>
      </c>
      <c r="F2" s="7">
        <f>전표_샘플!I2</f>
        <v>500</v>
      </c>
      <c r="G2" s="7" t="str">
        <f>전표_샘플!J2</f>
        <v>L</v>
      </c>
      <c r="H2" s="7">
        <f>IFERROR(VLOOKUP(D2,배출계수!$A:$D,4,FALSE),"")</f>
        <v>2.6160000000000001</v>
      </c>
      <c r="I2" s="7">
        <f t="shared" ref="I2:I41" si="0">IF(OR(F2="",H2=""),"",F2*H2)</f>
        <v>1308</v>
      </c>
      <c r="J2" s="2" t="str">
        <f>전표_샘플!Q2</f>
        <v>FALSE</v>
      </c>
      <c r="K2" s="2" t="str">
        <f>전표_샘플!R2</f>
        <v>지게차+경유가 명시되어 직접배출</v>
      </c>
      <c r="L2" s="2" t="str">
        <f t="shared" ref="L2:L41" si="1">IF(J2="TRUE","사람검토필요로 넘김",IF(C2="제외","탄소 산정 제외",C2&amp;" / "&amp;D2&amp;" / "&amp;TEXT(I2,"0.0")&amp;" kgCO2e"))</f>
        <v>Scope 1 / 경유 / 1308.0 kgCO2e</v>
      </c>
    </row>
    <row r="3" spans="1:12" ht="12" customHeight="1">
      <c r="A3" s="2" t="str">
        <f>전표_샘플!A3</f>
        <v>I002</v>
      </c>
      <c r="B3" s="2" t="str">
        <f>전표_샘플!E3</f>
        <v>공장 전기요금</v>
      </c>
      <c r="C3" s="2" t="str">
        <f>전표_샘플!K3</f>
        <v>Scope 2</v>
      </c>
      <c r="D3" s="2" t="str">
        <f>전표_샘플!M3</f>
        <v>전기</v>
      </c>
      <c r="E3" s="7">
        <f>전표_샘플!F3</f>
        <v>1200000</v>
      </c>
      <c r="F3" s="7">
        <f>전표_샘플!I3</f>
        <v>3500</v>
      </c>
      <c r="G3" s="7" t="str">
        <f>전표_샘플!J3</f>
        <v>kWh</v>
      </c>
      <c r="H3" s="7">
        <f>IFERROR(VLOOKUP(D3,배출계수!$A:$D,4,FALSE),"")</f>
        <v>0.4541</v>
      </c>
      <c r="I3" s="7">
        <f t="shared" si="0"/>
        <v>1589.35</v>
      </c>
      <c r="J3" s="2" t="str">
        <f>전표_샘플!Q3</f>
        <v>FALSE</v>
      </c>
      <c r="K3" s="2" t="str">
        <f>전표_샘플!R3</f>
        <v>한전 전기요금은 Scope 2</v>
      </c>
      <c r="L3" s="2" t="str">
        <f t="shared" si="1"/>
        <v>Scope 2 / 전기 / 1589.4 kgCO2e</v>
      </c>
    </row>
    <row r="4" spans="1:12" ht="12" customHeight="1">
      <c r="A4" s="2" t="str">
        <f>전표_샘플!A4</f>
        <v>I003</v>
      </c>
      <c r="B4" s="2" t="str">
        <f>전표_샘플!E4</f>
        <v>사무용품 구입</v>
      </c>
      <c r="C4" s="2" t="str">
        <f>전표_샘플!K4</f>
        <v>제외</v>
      </c>
      <c r="D4" s="2" t="str">
        <f>전표_샘플!M4</f>
        <v>없음</v>
      </c>
      <c r="E4" s="7">
        <f>전표_샘플!F4</f>
        <v>150000</v>
      </c>
      <c r="F4" s="7">
        <f>전표_샘플!I4</f>
        <v>0</v>
      </c>
      <c r="G4" s="7">
        <f>전표_샘플!J4</f>
        <v>0</v>
      </c>
      <c r="H4" s="7">
        <f>IFERROR(VLOOKUP(D4,배출계수!$A:$D,4,FALSE),"")</f>
        <v>0</v>
      </c>
      <c r="I4" s="7">
        <f t="shared" si="0"/>
        <v>0</v>
      </c>
      <c r="J4" s="2" t="str">
        <f>전표_샘플!Q4</f>
        <v>FALSE</v>
      </c>
      <c r="K4" s="2" t="str">
        <f>전표_샘플!R4</f>
        <v>탄소 산정 대상 아님</v>
      </c>
      <c r="L4" s="2" t="str">
        <f t="shared" si="1"/>
        <v>탄소 산정 제외</v>
      </c>
    </row>
    <row r="5" spans="1:12" ht="12" customHeight="1">
      <c r="A5" s="2" t="str">
        <f>전표_샘플!A5</f>
        <v>I004</v>
      </c>
      <c r="B5" s="2" t="str">
        <f>전표_샘플!E5</f>
        <v>공장 용접용 가스비</v>
      </c>
      <c r="C5" s="2" t="str">
        <f>전표_샘플!K5</f>
        <v>Scope 1</v>
      </c>
      <c r="D5" s="2" t="str">
        <f>전표_샘플!M5</f>
        <v>가스종류 불명</v>
      </c>
      <c r="E5" s="7">
        <f>전표_샘플!F5</f>
        <v>320000</v>
      </c>
      <c r="F5" s="7">
        <f>전표_샘플!I5</f>
        <v>0</v>
      </c>
      <c r="G5" s="7">
        <f>전표_샘플!J5</f>
        <v>0</v>
      </c>
      <c r="H5" s="7">
        <f>IFERROR(VLOOKUP(D5,배출계수!$A:$D,4,FALSE),"")</f>
        <v>0</v>
      </c>
      <c r="I5" s="7">
        <f t="shared" si="0"/>
        <v>0</v>
      </c>
      <c r="J5" s="2" t="str">
        <f>전표_샘플!Q5</f>
        <v>TRUE</v>
      </c>
      <c r="K5" s="2" t="str">
        <f>전표_샘플!R5</f>
        <v>가스 종류가 불명확해 사람검토 필요</v>
      </c>
      <c r="L5" s="2" t="str">
        <f t="shared" si="1"/>
        <v>사람검토필요로 넘김</v>
      </c>
    </row>
    <row r="6" spans="1:12" ht="12" customHeight="1">
      <c r="A6" s="2" t="str">
        <f>전표_샘플!A6</f>
        <v>I005</v>
      </c>
      <c r="B6" s="2" t="str">
        <f>전표_샘플!E6</f>
        <v>납품차량 경유 주유</v>
      </c>
      <c r="C6" s="2" t="str">
        <f>전표_샘플!K6</f>
        <v>Scope 1</v>
      </c>
      <c r="D6" s="2" t="str">
        <f>전표_샘플!M6</f>
        <v>경유</v>
      </c>
      <c r="E6" s="7">
        <f>전표_샘플!F6</f>
        <v>410000</v>
      </c>
      <c r="F6" s="7">
        <f>전표_샘플!I6</f>
        <v>310</v>
      </c>
      <c r="G6" s="7" t="str">
        <f>전표_샘플!J6</f>
        <v>L</v>
      </c>
      <c r="H6" s="7">
        <f>IFERROR(VLOOKUP(D6,배출계수!$A:$D,4,FALSE),"")</f>
        <v>2.6160000000000001</v>
      </c>
      <c r="I6" s="7">
        <f t="shared" si="0"/>
        <v>810.96</v>
      </c>
      <c r="J6" s="2" t="str">
        <f>전표_샘플!Q6</f>
        <v>FALSE</v>
      </c>
      <c r="K6" s="2" t="str">
        <f>전표_샘플!R6</f>
        <v>납품차량+경유 명시</v>
      </c>
      <c r="L6" s="2" t="str">
        <f t="shared" si="1"/>
        <v>Scope 1 / 경유 / 811.0 kgCO2e</v>
      </c>
    </row>
    <row r="7" spans="1:12" ht="12" customHeight="1">
      <c r="A7" s="2" t="str">
        <f>전표_샘플!A7</f>
        <v>I006</v>
      </c>
      <c r="B7" s="2" t="str">
        <f>전표_샘플!E7</f>
        <v>4월 전력 사용료</v>
      </c>
      <c r="C7" s="2" t="str">
        <f>전표_샘플!K7</f>
        <v>Scope 2</v>
      </c>
      <c r="D7" s="2" t="str">
        <f>전표_샘플!M7</f>
        <v>전기</v>
      </c>
      <c r="E7" s="7">
        <f>전표_샘플!F7</f>
        <v>1380000</v>
      </c>
      <c r="F7" s="7">
        <f>전표_샘플!I7</f>
        <v>4100</v>
      </c>
      <c r="G7" s="7" t="str">
        <f>전표_샘플!J7</f>
        <v>kWh</v>
      </c>
      <c r="H7" s="7">
        <f>IFERROR(VLOOKUP(D7,배출계수!$A:$D,4,FALSE),"")</f>
        <v>0.4541</v>
      </c>
      <c r="I7" s="7">
        <f t="shared" si="0"/>
        <v>1861.81</v>
      </c>
      <c r="J7" s="2" t="str">
        <f>전표_샘플!Q7</f>
        <v>FALSE</v>
      </c>
      <c r="K7" s="2" t="str">
        <f>전표_샘플!R7</f>
        <v>전력 사용료는 Scope 2</v>
      </c>
      <c r="L7" s="2" t="str">
        <f t="shared" si="1"/>
        <v>Scope 2 / 전기 / 1861.8 kgCO2e</v>
      </c>
    </row>
    <row r="8" spans="1:12" ht="12" customHeight="1">
      <c r="A8" s="2" t="str">
        <f>전표_샘플!A8</f>
        <v>I007</v>
      </c>
      <c r="B8" s="2" t="str">
        <f>전표_샘플!E8</f>
        <v>도시가스 요금</v>
      </c>
      <c r="C8" s="2" t="str">
        <f>전표_샘플!K8</f>
        <v>Scope 1</v>
      </c>
      <c r="D8" s="2" t="str">
        <f>전표_샘플!M8</f>
        <v>도시가스</v>
      </c>
      <c r="E8" s="7">
        <f>전표_샘플!F8</f>
        <v>220000</v>
      </c>
      <c r="F8" s="7">
        <f>전표_샘플!I8</f>
        <v>180</v>
      </c>
      <c r="G8" s="7" t="str">
        <f>전표_샘플!J8</f>
        <v>m3</v>
      </c>
      <c r="H8" s="7">
        <f>IFERROR(VLOOKUP(D8,배출계수!$A:$D,4,FALSE),"")</f>
        <v>2.21</v>
      </c>
      <c r="I8" s="7">
        <f t="shared" si="0"/>
        <v>397.8</v>
      </c>
      <c r="J8" s="2" t="str">
        <f>전표_샘플!Q8</f>
        <v>FALSE</v>
      </c>
      <c r="K8" s="2" t="str">
        <f>전표_샘플!R8</f>
        <v>도시가스 사용량 존재</v>
      </c>
      <c r="L8" s="2" t="str">
        <f t="shared" si="1"/>
        <v>Scope 1 / 도시가스 / 397.8 kgCO2e</v>
      </c>
    </row>
    <row r="9" spans="1:12" ht="12" customHeight="1">
      <c r="A9" s="2" t="str">
        <f>전표_샘플!A9</f>
        <v>I008</v>
      </c>
      <c r="B9" s="2" t="str">
        <f>전표_샘플!E9</f>
        <v>공장 소모품 외 2종</v>
      </c>
      <c r="C9" s="2" t="str">
        <f>전표_샘플!K9</f>
        <v>제외</v>
      </c>
      <c r="D9" s="2" t="str">
        <f>전표_샘플!M9</f>
        <v>없음</v>
      </c>
      <c r="E9" s="7">
        <f>전표_샘플!F9</f>
        <v>275000</v>
      </c>
      <c r="F9" s="7">
        <f>전표_샘플!I9</f>
        <v>0</v>
      </c>
      <c r="G9" s="7">
        <f>전표_샘플!J9</f>
        <v>0</v>
      </c>
      <c r="H9" s="7">
        <f>IFERROR(VLOOKUP(D9,배출계수!$A:$D,4,FALSE),"")</f>
        <v>0</v>
      </c>
      <c r="I9" s="7">
        <f t="shared" si="0"/>
        <v>0</v>
      </c>
      <c r="J9" s="2" t="str">
        <f>전표_샘플!Q9</f>
        <v>TRUE</v>
      </c>
      <c r="K9" s="2" t="str">
        <f>전표_샘플!R9</f>
        <v>품목이 모호하고 탄소 항목 여부 불확실</v>
      </c>
      <c r="L9" s="2" t="str">
        <f t="shared" si="1"/>
        <v>사람검토필요로 넘김</v>
      </c>
    </row>
    <row r="10" spans="1:12" ht="12" customHeight="1">
      <c r="A10" s="2" t="str">
        <f>전표_샘플!A10</f>
        <v>I009</v>
      </c>
      <c r="B10" s="2" t="str">
        <f>전표_샘플!E10</f>
        <v>LPG 연료비</v>
      </c>
      <c r="C10" s="2" t="str">
        <f>전표_샘플!K10</f>
        <v>Scope 1</v>
      </c>
      <c r="D10" s="2" t="str">
        <f>전표_샘플!M10</f>
        <v>LPG</v>
      </c>
      <c r="E10" s="7">
        <f>전표_샘플!F10</f>
        <v>180000</v>
      </c>
      <c r="F10" s="7">
        <f>전표_샘플!I10</f>
        <v>95</v>
      </c>
      <c r="G10" s="7" t="str">
        <f>전표_샘플!J10</f>
        <v>kg</v>
      </c>
      <c r="H10" s="7">
        <f>IFERROR(VLOOKUP(D10,배출계수!$A:$D,4,FALSE),"")</f>
        <v>3.722</v>
      </c>
      <c r="I10" s="7">
        <f t="shared" si="0"/>
        <v>353.59</v>
      </c>
      <c r="J10" s="2" t="str">
        <f>전표_샘플!Q10</f>
        <v>TRUE</v>
      </c>
      <c r="K10" s="2" t="str">
        <f>전표_샘플!R10</f>
        <v>LPG는 kg/L/Nm3 단위 확인 필요</v>
      </c>
      <c r="L10" s="2" t="str">
        <f t="shared" si="1"/>
        <v>사람검토필요로 넘김</v>
      </c>
    </row>
    <row r="11" spans="1:12" ht="12" customHeight="1">
      <c r="A11" s="2" t="str">
        <f>전표_샘플!A11</f>
        <v>I010</v>
      </c>
      <c r="B11" s="2" t="str">
        <f>전표_샘플!E11</f>
        <v>전기료</v>
      </c>
      <c r="C11" s="2" t="str">
        <f>전표_샘플!K11</f>
        <v>Scope 2</v>
      </c>
      <c r="D11" s="2" t="str">
        <f>전표_샘플!M11</f>
        <v>전기</v>
      </c>
      <c r="E11" s="7">
        <f>전표_샘플!F11</f>
        <v>980000</v>
      </c>
      <c r="F11" s="7">
        <f>전표_샘플!I11</f>
        <v>2800</v>
      </c>
      <c r="G11" s="7" t="str">
        <f>전표_샘플!J11</f>
        <v>kWh</v>
      </c>
      <c r="H11" s="7">
        <f>IFERROR(VLOOKUP(D11,배출계수!$A:$D,4,FALSE),"")</f>
        <v>0.4541</v>
      </c>
      <c r="I11" s="7">
        <f t="shared" si="0"/>
        <v>1271.48</v>
      </c>
      <c r="J11" s="2" t="str">
        <f>전표_샘플!Q11</f>
        <v>FALSE</v>
      </c>
      <c r="K11" s="2" t="str">
        <f>전표_샘플!R11</f>
        <v>전기료 키워드</v>
      </c>
      <c r="L11" s="2" t="str">
        <f t="shared" si="1"/>
        <v>Scope 2 / 전기 / 1271.5 kgCO2e</v>
      </c>
    </row>
    <row r="12" spans="1:12" ht="12" customHeight="1">
      <c r="A12" s="2" t="str">
        <f>전표_샘플!A12</f>
        <v>I011</v>
      </c>
      <c r="B12" s="2" t="str">
        <f>전표_샘플!E12</f>
        <v>유류대금</v>
      </c>
      <c r="C12" s="2" t="str">
        <f>전표_샘플!K12</f>
        <v>Scope 1</v>
      </c>
      <c r="D12" s="2" t="str">
        <f>전표_샘플!M12</f>
        <v>연료종류 불명</v>
      </c>
      <c r="E12" s="7">
        <f>전표_샘플!F12</f>
        <v>355000</v>
      </c>
      <c r="F12" s="7">
        <f>전표_샘플!I12</f>
        <v>0</v>
      </c>
      <c r="G12" s="7">
        <f>전표_샘플!J12</f>
        <v>0</v>
      </c>
      <c r="H12" s="7">
        <f>IFERROR(VLOOKUP(D12,배출계수!$A:$D,4,FALSE),"")</f>
        <v>0</v>
      </c>
      <c r="I12" s="7">
        <f t="shared" si="0"/>
        <v>0</v>
      </c>
      <c r="J12" s="2" t="str">
        <f>전표_샘플!Q12</f>
        <v>TRUE</v>
      </c>
      <c r="K12" s="2" t="str">
        <f>전표_샘플!R12</f>
        <v>경유/휘발유 구분 불가</v>
      </c>
      <c r="L12" s="2" t="str">
        <f t="shared" si="1"/>
        <v>사람검토필요로 넘김</v>
      </c>
    </row>
    <row r="13" spans="1:12" ht="12" customHeight="1">
      <c r="A13" s="2" t="str">
        <f>전표_샘플!A13</f>
        <v>I012</v>
      </c>
      <c r="B13" s="2" t="str">
        <f>전표_샘플!E13</f>
        <v>경유</v>
      </c>
      <c r="C13" s="2" t="str">
        <f>전표_샘플!K13</f>
        <v>Scope 1</v>
      </c>
      <c r="D13" s="2" t="str">
        <f>전표_샘플!M13</f>
        <v>경유</v>
      </c>
      <c r="E13" s="7">
        <f>전표_샘플!F13</f>
        <v>785000</v>
      </c>
      <c r="F13" s="7">
        <f>전표_샘플!I13</f>
        <v>600</v>
      </c>
      <c r="G13" s="7" t="str">
        <f>전표_샘플!J13</f>
        <v>L</v>
      </c>
      <c r="H13" s="7">
        <f>IFERROR(VLOOKUP(D13,배출계수!$A:$D,4,FALSE),"")</f>
        <v>2.6160000000000001</v>
      </c>
      <c r="I13" s="7">
        <f t="shared" si="0"/>
        <v>1569.6000000000001</v>
      </c>
      <c r="J13" s="2" t="str">
        <f>전표_샘플!Q13</f>
        <v>FALSE</v>
      </c>
      <c r="K13" s="2" t="str">
        <f>전표_샘플!R13</f>
        <v>경유 명시</v>
      </c>
      <c r="L13" s="2" t="str">
        <f t="shared" si="1"/>
        <v>Scope 1 / 경유 / 1569.6 kgCO2e</v>
      </c>
    </row>
    <row r="14" spans="1:12" ht="12" customHeight="1">
      <c r="A14" s="2" t="str">
        <f>전표_샘플!A14</f>
        <v>I013</v>
      </c>
      <c r="B14" s="2" t="str">
        <f>전표_샘플!E14</f>
        <v>산소/아르곤 가스</v>
      </c>
      <c r="C14" s="2" t="str">
        <f>전표_샘플!K14</f>
        <v>검토</v>
      </c>
      <c r="D14" s="2" t="str">
        <f>전표_샘플!M14</f>
        <v>산업가스</v>
      </c>
      <c r="E14" s="7">
        <f>전표_샘플!F14</f>
        <v>440000</v>
      </c>
      <c r="F14" s="7">
        <f>전표_샘플!I14</f>
        <v>0</v>
      </c>
      <c r="G14" s="7">
        <f>전표_샘플!J14</f>
        <v>0</v>
      </c>
      <c r="H14" s="7" t="str">
        <f>IFERROR(VLOOKUP(D14,배출계수!$A:$D,4,FALSE),"")</f>
        <v/>
      </c>
      <c r="I14" s="7" t="str">
        <f t="shared" si="0"/>
        <v/>
      </c>
      <c r="J14" s="2" t="str">
        <f>전표_샘플!Q14</f>
        <v>TRUE</v>
      </c>
      <c r="K14" s="2" t="str">
        <f>전표_샘플!R14</f>
        <v>공정용 가스이나 배출계수 적용 여부 검토 필요</v>
      </c>
      <c r="L14" s="2" t="str">
        <f t="shared" si="1"/>
        <v>사람검토필요로 넘김</v>
      </c>
    </row>
    <row r="15" spans="1:12" ht="12" customHeight="1">
      <c r="A15" s="2" t="str">
        <f>전표_샘플!A15</f>
        <v>I014</v>
      </c>
      <c r="B15" s="2" t="str">
        <f>전표_샘플!E15</f>
        <v>복사용지 및 토너</v>
      </c>
      <c r="C15" s="2" t="str">
        <f>전표_샘플!K15</f>
        <v>제외</v>
      </c>
      <c r="D15" s="2" t="str">
        <f>전표_샘플!M15</f>
        <v>없음</v>
      </c>
      <c r="E15" s="7">
        <f>전표_샘플!F15</f>
        <v>210000</v>
      </c>
      <c r="F15" s="7">
        <f>전표_샘플!I15</f>
        <v>0</v>
      </c>
      <c r="G15" s="7">
        <f>전표_샘플!J15</f>
        <v>0</v>
      </c>
      <c r="H15" s="7">
        <f>IFERROR(VLOOKUP(D15,배출계수!$A:$D,4,FALSE),"")</f>
        <v>0</v>
      </c>
      <c r="I15" s="7">
        <f t="shared" si="0"/>
        <v>0</v>
      </c>
      <c r="J15" s="2" t="str">
        <f>전표_샘플!Q15</f>
        <v>FALSE</v>
      </c>
      <c r="K15" s="2" t="str">
        <f>전표_샘플!R15</f>
        <v>일반 사무비용</v>
      </c>
      <c r="L15" s="2" t="str">
        <f t="shared" si="1"/>
        <v>탄소 산정 제외</v>
      </c>
    </row>
    <row r="16" spans="1:12" ht="12" customHeight="1">
      <c r="A16" s="2" t="str">
        <f>전표_샘플!A16</f>
        <v>I015</v>
      </c>
      <c r="B16" s="2" t="str">
        <f>전표_샘플!E16</f>
        <v>공장 전기료</v>
      </c>
      <c r="C16" s="2" t="str">
        <f>전표_샘플!K16</f>
        <v>Scope 2</v>
      </c>
      <c r="D16" s="2" t="str">
        <f>전표_샘플!M16</f>
        <v>전기</v>
      </c>
      <c r="E16" s="7">
        <f>전표_샘플!F16</f>
        <v>1120000</v>
      </c>
      <c r="F16" s="7">
        <f>전표_샘플!I16</f>
        <v>3300</v>
      </c>
      <c r="G16" s="7" t="str">
        <f>전표_샘플!J16</f>
        <v>kWh</v>
      </c>
      <c r="H16" s="7">
        <f>IFERROR(VLOOKUP(D16,배출계수!$A:$D,4,FALSE),"")</f>
        <v>0.4541</v>
      </c>
      <c r="I16" s="7">
        <f t="shared" si="0"/>
        <v>1498.53</v>
      </c>
      <c r="J16" s="2" t="str">
        <f>전표_샘플!Q16</f>
        <v>FALSE</v>
      </c>
      <c r="K16" s="2" t="str">
        <f>전표_샘플!R16</f>
        <v>전기료는 Scope 2</v>
      </c>
      <c r="L16" s="2" t="str">
        <f t="shared" si="1"/>
        <v>Scope 2 / 전기 / 1498.5 kgCO2e</v>
      </c>
    </row>
    <row r="17" spans="1:12" ht="12" customHeight="1">
      <c r="A17" s="2" t="str">
        <f>전표_샘플!A17</f>
        <v>I016</v>
      </c>
      <c r="B17" s="2" t="str">
        <f>전표_샘플!E17</f>
        <v>보일러 도시가스</v>
      </c>
      <c r="C17" s="2" t="str">
        <f>전표_샘플!K17</f>
        <v>Scope 1</v>
      </c>
      <c r="D17" s="2" t="str">
        <f>전표_샘플!M17</f>
        <v>도시가스</v>
      </c>
      <c r="E17" s="7">
        <f>전표_샘플!F17</f>
        <v>360000</v>
      </c>
      <c r="F17" s="7">
        <f>전표_샘플!I17</f>
        <v>295</v>
      </c>
      <c r="G17" s="7" t="str">
        <f>전표_샘플!J17</f>
        <v>m3</v>
      </c>
      <c r="H17" s="7">
        <f>IFERROR(VLOOKUP(D17,배출계수!$A:$D,4,FALSE),"")</f>
        <v>2.21</v>
      </c>
      <c r="I17" s="7">
        <f t="shared" si="0"/>
        <v>651.95000000000005</v>
      </c>
      <c r="J17" s="2" t="str">
        <f>전표_샘플!Q17</f>
        <v>FALSE</v>
      </c>
      <c r="K17" s="2" t="str">
        <f>전표_샘플!R17</f>
        <v>보일러+도시가스 명시</v>
      </c>
      <c r="L17" s="2" t="str">
        <f t="shared" si="1"/>
        <v>Scope 1 / 도시가스 / 652.0 kgCO2e</v>
      </c>
    </row>
    <row r="18" spans="1:12" ht="12" customHeight="1">
      <c r="A18" s="2" t="str">
        <f>전표_샘플!A18</f>
        <v>I017</v>
      </c>
      <c r="B18" s="2" t="str">
        <f>전표_샘플!E18</f>
        <v>전력 사용료</v>
      </c>
      <c r="C18" s="2" t="str">
        <f>전표_샘플!K18</f>
        <v>Scope 2</v>
      </c>
      <c r="D18" s="2" t="str">
        <f>전표_샘플!M18</f>
        <v>전기</v>
      </c>
      <c r="E18" s="7">
        <f>전표_샘플!F18</f>
        <v>1540000</v>
      </c>
      <c r="F18" s="7">
        <f>전표_샘플!I18</f>
        <v>4600</v>
      </c>
      <c r="G18" s="7" t="str">
        <f>전표_샘플!J18</f>
        <v>kWh</v>
      </c>
      <c r="H18" s="7">
        <f>IFERROR(VLOOKUP(D18,배출계수!$A:$D,4,FALSE),"")</f>
        <v>0.4541</v>
      </c>
      <c r="I18" s="7">
        <f t="shared" si="0"/>
        <v>2088.86</v>
      </c>
      <c r="J18" s="2" t="str">
        <f>전표_샘플!Q18</f>
        <v>FALSE</v>
      </c>
      <c r="K18" s="2" t="str">
        <f>전표_샘플!R18</f>
        <v>전력 사용료</v>
      </c>
      <c r="L18" s="2" t="str">
        <f t="shared" si="1"/>
        <v>Scope 2 / 전기 / 2088.9 kgCO2e</v>
      </c>
    </row>
    <row r="19" spans="1:12" ht="12" customHeight="1">
      <c r="A19" s="2" t="str">
        <f>전표_샘플!A19</f>
        <v>I018</v>
      </c>
      <c r="B19" s="2" t="str">
        <f>전표_샘플!E19</f>
        <v>지게차 경유</v>
      </c>
      <c r="C19" s="2" t="str">
        <f>전표_샘플!K19</f>
        <v>Scope 1</v>
      </c>
      <c r="D19" s="2" t="str">
        <f>전표_샘플!M19</f>
        <v>경유</v>
      </c>
      <c r="E19" s="7">
        <f>전표_샘플!F19</f>
        <v>520000</v>
      </c>
      <c r="F19" s="7">
        <f>전표_샘플!I19</f>
        <v>400</v>
      </c>
      <c r="G19" s="7" t="str">
        <f>전표_샘플!J19</f>
        <v>L</v>
      </c>
      <c r="H19" s="7">
        <f>IFERROR(VLOOKUP(D19,배출계수!$A:$D,4,FALSE),"")</f>
        <v>2.6160000000000001</v>
      </c>
      <c r="I19" s="7">
        <f t="shared" si="0"/>
        <v>1046.4000000000001</v>
      </c>
      <c r="J19" s="2" t="str">
        <f>전표_샘플!Q19</f>
        <v>FALSE</v>
      </c>
      <c r="K19" s="2" t="str">
        <f>전표_샘플!R19</f>
        <v>지게차 경유 명시</v>
      </c>
      <c r="L19" s="2" t="str">
        <f t="shared" si="1"/>
        <v>Scope 1 / 경유 / 1046.4 kgCO2e</v>
      </c>
    </row>
    <row r="20" spans="1:12" ht="12" customHeight="1">
      <c r="A20" s="2" t="str">
        <f>전표_샘플!A20</f>
        <v>I019</v>
      </c>
      <c r="B20" s="2" t="str">
        <f>전표_샘플!E20</f>
        <v>야근 식대</v>
      </c>
      <c r="C20" s="2" t="str">
        <f>전표_샘플!K20</f>
        <v>제외</v>
      </c>
      <c r="D20" s="2" t="str">
        <f>전표_샘플!M20</f>
        <v>없음</v>
      </c>
      <c r="E20" s="7">
        <f>전표_샘플!F20</f>
        <v>180000</v>
      </c>
      <c r="F20" s="7">
        <f>전표_샘플!I20</f>
        <v>0</v>
      </c>
      <c r="G20" s="7">
        <f>전표_샘플!J20</f>
        <v>0</v>
      </c>
      <c r="H20" s="7">
        <f>IFERROR(VLOOKUP(D20,배출계수!$A:$D,4,FALSE),"")</f>
        <v>0</v>
      </c>
      <c r="I20" s="7">
        <f t="shared" si="0"/>
        <v>0</v>
      </c>
      <c r="J20" s="2" t="str">
        <f>전표_샘플!Q20</f>
        <v>FALSE</v>
      </c>
      <c r="K20" s="2" t="str">
        <f>전표_샘플!R20</f>
        <v>식대는 MVP 제외</v>
      </c>
      <c r="L20" s="2" t="str">
        <f t="shared" si="1"/>
        <v>탄소 산정 제외</v>
      </c>
    </row>
    <row r="21" spans="1:12" ht="12" customHeight="1">
      <c r="A21" s="2" t="str">
        <f>전표_샘플!A21</f>
        <v>I020</v>
      </c>
      <c r="B21" s="2" t="str">
        <f>전표_샘플!E21</f>
        <v>공장 난방 LPG</v>
      </c>
      <c r="C21" s="2" t="str">
        <f>전표_샘플!K21</f>
        <v>Scope 1</v>
      </c>
      <c r="D21" s="2" t="str">
        <f>전표_샘플!M21</f>
        <v>LPG</v>
      </c>
      <c r="E21" s="7">
        <f>전표_샘플!F21</f>
        <v>260000</v>
      </c>
      <c r="F21" s="7">
        <f>전표_샘플!I21</f>
        <v>135</v>
      </c>
      <c r="G21" s="7" t="str">
        <f>전표_샘플!J21</f>
        <v>kg</v>
      </c>
      <c r="H21" s="7">
        <f>IFERROR(VLOOKUP(D21,배출계수!$A:$D,4,FALSE),"")</f>
        <v>3.722</v>
      </c>
      <c r="I21" s="7">
        <f t="shared" si="0"/>
        <v>502.46999999999997</v>
      </c>
      <c r="J21" s="2" t="str">
        <f>전표_샘플!Q21</f>
        <v>TRUE</v>
      </c>
      <c r="K21" s="2" t="str">
        <f>전표_샘플!R21</f>
        <v>LPG는 kg/L/Nm3 단위 확인 필요</v>
      </c>
      <c r="L21" s="2" t="str">
        <f t="shared" si="1"/>
        <v>사람검토필요로 넘김</v>
      </c>
    </row>
    <row r="22" spans="1:12" ht="12" customHeight="1">
      <c r="A22" s="2" t="str">
        <f>전표_샘플!A22</f>
        <v>I021</v>
      </c>
      <c r="B22" s="2" t="str">
        <f>전표_샘플!E22</f>
        <v>지게차 정비비</v>
      </c>
      <c r="C22" s="2" t="str">
        <f>전표_샘플!K22</f>
        <v>제외</v>
      </c>
      <c r="D22" s="2" t="str">
        <f>전표_샘플!M22</f>
        <v>없음</v>
      </c>
      <c r="E22" s="7">
        <f>전표_샘플!F22</f>
        <v>300000</v>
      </c>
      <c r="F22" s="7">
        <f>전표_샘플!I22</f>
        <v>0</v>
      </c>
      <c r="G22" s="7">
        <f>전표_샘플!J22</f>
        <v>0</v>
      </c>
      <c r="H22" s="7">
        <f>IFERROR(VLOOKUP(D22,배출계수!$A:$D,4,FALSE),"")</f>
        <v>0</v>
      </c>
      <c r="I22" s="7">
        <f t="shared" si="0"/>
        <v>0</v>
      </c>
      <c r="J22" s="2" t="str">
        <f>전표_샘플!Q22</f>
        <v>FALSE</v>
      </c>
      <c r="K22" s="2" t="str">
        <f>전표_샘플!R22</f>
        <v>정비비는 연료 사용량 아님</v>
      </c>
      <c r="L22" s="2" t="str">
        <f t="shared" si="1"/>
        <v>탄소 산정 제외</v>
      </c>
    </row>
    <row r="23" spans="1:12" ht="12" customHeight="1">
      <c r="A23" s="2" t="str">
        <f>전표_샘플!A23</f>
        <v>I022</v>
      </c>
      <c r="B23" s="2" t="str">
        <f>전표_샘플!E23</f>
        <v>전기요금</v>
      </c>
      <c r="C23" s="2" t="str">
        <f>전표_샘플!K23</f>
        <v>Scope 2</v>
      </c>
      <c r="D23" s="2" t="str">
        <f>전표_샘플!M23</f>
        <v>전기</v>
      </c>
      <c r="E23" s="7">
        <f>전표_샘플!F23</f>
        <v>1650000</v>
      </c>
      <c r="F23" s="7">
        <f>전표_샘플!I23</f>
        <v>5000</v>
      </c>
      <c r="G23" s="7" t="str">
        <f>전표_샘플!J23</f>
        <v>kWh</v>
      </c>
      <c r="H23" s="7">
        <f>IFERROR(VLOOKUP(D23,배출계수!$A:$D,4,FALSE),"")</f>
        <v>0.4541</v>
      </c>
      <c r="I23" s="7">
        <f t="shared" si="0"/>
        <v>2270.5</v>
      </c>
      <c r="J23" s="2" t="str">
        <f>전표_샘플!Q23</f>
        <v>FALSE</v>
      </c>
      <c r="K23" s="2" t="str">
        <f>전표_샘플!R23</f>
        <v>전기요금 키워드</v>
      </c>
      <c r="L23" s="2" t="str">
        <f t="shared" si="1"/>
        <v>Scope 2 / 전기 / 2270.5 kgCO2e</v>
      </c>
    </row>
    <row r="24" spans="1:12" ht="12" customHeight="1">
      <c r="A24" s="2" t="str">
        <f>전표_샘플!A24</f>
        <v>I023</v>
      </c>
      <c r="B24" s="2" t="str">
        <f>전표_샘플!E24</f>
        <v>경유 외 1종</v>
      </c>
      <c r="C24" s="2" t="str">
        <f>전표_샘플!K24</f>
        <v>Scope 1</v>
      </c>
      <c r="D24" s="2" t="str">
        <f>전표_샘플!M24</f>
        <v>경유</v>
      </c>
      <c r="E24" s="7">
        <f>전표_샘플!F24</f>
        <v>432000</v>
      </c>
      <c r="F24" s="7">
        <f>전표_샘플!I24</f>
        <v>330</v>
      </c>
      <c r="G24" s="7" t="str">
        <f>전표_샘플!J24</f>
        <v>L</v>
      </c>
      <c r="H24" s="7">
        <f>IFERROR(VLOOKUP(D24,배출계수!$A:$D,4,FALSE),"")</f>
        <v>2.6160000000000001</v>
      </c>
      <c r="I24" s="7">
        <f t="shared" si="0"/>
        <v>863.28000000000009</v>
      </c>
      <c r="J24" s="2" t="str">
        <f>전표_샘플!Q24</f>
        <v>FALSE</v>
      </c>
      <c r="K24" s="2" t="str">
        <f>전표_샘플!R24</f>
        <v>경유가 주품목으로 명확</v>
      </c>
      <c r="L24" s="2" t="str">
        <f t="shared" si="1"/>
        <v>Scope 1 / 경유 / 863.3 kgCO2e</v>
      </c>
    </row>
    <row r="25" spans="1:12" ht="12" customHeight="1">
      <c r="A25" s="2" t="str">
        <f>전표_샘플!A25</f>
        <v>I024</v>
      </c>
      <c r="B25" s="2" t="str">
        <f>전표_샘플!E25</f>
        <v>3월 전기요금</v>
      </c>
      <c r="C25" s="2" t="str">
        <f>전표_샘플!K25</f>
        <v>Scope 2</v>
      </c>
      <c r="D25" s="2" t="str">
        <f>전표_샘플!M25</f>
        <v>전기</v>
      </c>
      <c r="E25" s="7">
        <f>전표_샘플!F25</f>
        <v>760000</v>
      </c>
      <c r="F25" s="7">
        <f>전표_샘플!I25</f>
        <v>2200</v>
      </c>
      <c r="G25" s="7" t="str">
        <f>전표_샘플!J25</f>
        <v>kWh</v>
      </c>
      <c r="H25" s="7">
        <f>IFERROR(VLOOKUP(D25,배출계수!$A:$D,4,FALSE),"")</f>
        <v>0.4541</v>
      </c>
      <c r="I25" s="7">
        <f t="shared" si="0"/>
        <v>999.02</v>
      </c>
      <c r="J25" s="2" t="str">
        <f>전표_샘플!Q25</f>
        <v>FALSE</v>
      </c>
      <c r="K25" s="2" t="str">
        <f>전표_샘플!R25</f>
        <v>전기요금</v>
      </c>
      <c r="L25" s="2" t="str">
        <f t="shared" si="1"/>
        <v>Scope 2 / 전기 / 999.0 kgCO2e</v>
      </c>
    </row>
    <row r="26" spans="1:12" ht="12" customHeight="1">
      <c r="A26" s="2" t="str">
        <f>전표_샘플!A26</f>
        <v>I025</v>
      </c>
      <c r="B26" s="2" t="str">
        <f>전표_샘플!E26</f>
        <v>절삭유 및 소모품</v>
      </c>
      <c r="C26" s="2" t="str">
        <f>전표_샘플!K26</f>
        <v>검토</v>
      </c>
      <c r="D26" s="2" t="str">
        <f>전표_샘플!M26</f>
        <v>없음</v>
      </c>
      <c r="E26" s="7">
        <f>전표_샘플!F26</f>
        <v>390000</v>
      </c>
      <c r="F26" s="7">
        <f>전표_샘플!I26</f>
        <v>0</v>
      </c>
      <c r="G26" s="7">
        <f>전표_샘플!J26</f>
        <v>0</v>
      </c>
      <c r="H26" s="7">
        <f>IFERROR(VLOOKUP(D26,배출계수!$A:$D,4,FALSE),"")</f>
        <v>0</v>
      </c>
      <c r="I26" s="7">
        <f t="shared" si="0"/>
        <v>0</v>
      </c>
      <c r="J26" s="2" t="str">
        <f>전표_샘플!Q26</f>
        <v>TRUE</v>
      </c>
      <c r="K26" s="2" t="str">
        <f>전표_샘플!R26</f>
        <v>절삭유는 배출 산정 포함 여부 판단 필요</v>
      </c>
      <c r="L26" s="2" t="str">
        <f t="shared" si="1"/>
        <v>사람검토필요로 넘김</v>
      </c>
    </row>
    <row r="27" spans="1:12" ht="12" customHeight="1">
      <c r="A27" s="2" t="str">
        <f>전표_샘플!A27</f>
        <v>I026</v>
      </c>
      <c r="B27" s="2" t="str">
        <f>전표_샘플!E27</f>
        <v>도시가스</v>
      </c>
      <c r="C27" s="2" t="str">
        <f>전표_샘플!K27</f>
        <v>Scope 1</v>
      </c>
      <c r="D27" s="2" t="str">
        <f>전표_샘플!M27</f>
        <v>도시가스</v>
      </c>
      <c r="E27" s="7">
        <f>전표_샘플!F27</f>
        <v>190000</v>
      </c>
      <c r="F27" s="7">
        <f>전표_샘플!I27</f>
        <v>160</v>
      </c>
      <c r="G27" s="7" t="str">
        <f>전표_샘플!J27</f>
        <v>m3</v>
      </c>
      <c r="H27" s="7">
        <f>IFERROR(VLOOKUP(D27,배출계수!$A:$D,4,FALSE),"")</f>
        <v>2.21</v>
      </c>
      <c r="I27" s="7">
        <f t="shared" si="0"/>
        <v>353.6</v>
      </c>
      <c r="J27" s="2" t="str">
        <f>전표_샘플!Q27</f>
        <v>FALSE</v>
      </c>
      <c r="K27" s="2" t="str">
        <f>전표_샘플!R27</f>
        <v>도시가스 명시</v>
      </c>
      <c r="L27" s="2" t="str">
        <f t="shared" si="1"/>
        <v>Scope 1 / 도시가스 / 353.6 kgCO2e</v>
      </c>
    </row>
    <row r="28" spans="1:12" ht="12" customHeight="1">
      <c r="A28" s="2" t="str">
        <f>전표_샘플!A28</f>
        <v>I027</v>
      </c>
      <c r="B28" s="2" t="str">
        <f>전표_샘플!E28</f>
        <v>사무용 의자</v>
      </c>
      <c r="C28" s="2" t="str">
        <f>전표_샘플!K28</f>
        <v>제외</v>
      </c>
      <c r="D28" s="2" t="str">
        <f>전표_샘플!M28</f>
        <v>없음</v>
      </c>
      <c r="E28" s="7">
        <f>전표_샘플!F28</f>
        <v>280000</v>
      </c>
      <c r="F28" s="7">
        <f>전표_샘플!I28</f>
        <v>0</v>
      </c>
      <c r="G28" s="7">
        <f>전표_샘플!J28</f>
        <v>0</v>
      </c>
      <c r="H28" s="7">
        <f>IFERROR(VLOOKUP(D28,배출계수!$A:$D,4,FALSE),"")</f>
        <v>0</v>
      </c>
      <c r="I28" s="7">
        <f t="shared" si="0"/>
        <v>0</v>
      </c>
      <c r="J28" s="2" t="str">
        <f>전표_샘플!Q28</f>
        <v>FALSE</v>
      </c>
      <c r="K28" s="2" t="str">
        <f>전표_샘플!R28</f>
        <v>일반비용</v>
      </c>
      <c r="L28" s="2" t="str">
        <f t="shared" si="1"/>
        <v>탄소 산정 제외</v>
      </c>
    </row>
    <row r="29" spans="1:12" ht="12" customHeight="1">
      <c r="A29" s="2" t="str">
        <f>전표_샘플!A29</f>
        <v>I028</v>
      </c>
      <c r="B29" s="2" t="str">
        <f>전표_샘플!E29</f>
        <v>공장 전력료</v>
      </c>
      <c r="C29" s="2" t="str">
        <f>전표_샘플!K29</f>
        <v>Scope 2</v>
      </c>
      <c r="D29" s="2" t="str">
        <f>전표_샘플!M29</f>
        <v>전기</v>
      </c>
      <c r="E29" s="7">
        <f>전표_샘플!F29</f>
        <v>830000</v>
      </c>
      <c r="F29" s="7">
        <f>전표_샘플!I29</f>
        <v>2450</v>
      </c>
      <c r="G29" s="7" t="str">
        <f>전표_샘플!J29</f>
        <v>kWh</v>
      </c>
      <c r="H29" s="7">
        <f>IFERROR(VLOOKUP(D29,배출계수!$A:$D,4,FALSE),"")</f>
        <v>0.4541</v>
      </c>
      <c r="I29" s="7">
        <f t="shared" si="0"/>
        <v>1112.5450000000001</v>
      </c>
      <c r="J29" s="2" t="str">
        <f>전표_샘플!Q29</f>
        <v>FALSE</v>
      </c>
      <c r="K29" s="2" t="str">
        <f>전표_샘플!R29</f>
        <v>전력료는 Scope 2</v>
      </c>
      <c r="L29" s="2" t="str">
        <f t="shared" si="1"/>
        <v>Scope 2 / 전기 / 1112.5 kgCO2e</v>
      </c>
    </row>
    <row r="30" spans="1:12" ht="12" customHeight="1">
      <c r="A30" s="2" t="str">
        <f>전표_샘플!A30</f>
        <v>I029</v>
      </c>
      <c r="B30" s="2" t="str">
        <f>전표_샘플!E30</f>
        <v>화물차 경유</v>
      </c>
      <c r="C30" s="2" t="str">
        <f>전표_샘플!K30</f>
        <v>Scope 1</v>
      </c>
      <c r="D30" s="2" t="str">
        <f>전표_샘플!M30</f>
        <v>경유</v>
      </c>
      <c r="E30" s="7">
        <f>전표_샘플!F30</f>
        <v>910000</v>
      </c>
      <c r="F30" s="7">
        <f>전표_샘플!I30</f>
        <v>700</v>
      </c>
      <c r="G30" s="7" t="str">
        <f>전표_샘플!J30</f>
        <v>L</v>
      </c>
      <c r="H30" s="7">
        <f>IFERROR(VLOOKUP(D30,배출계수!$A:$D,4,FALSE),"")</f>
        <v>2.6160000000000001</v>
      </c>
      <c r="I30" s="7">
        <f t="shared" si="0"/>
        <v>1831.2</v>
      </c>
      <c r="J30" s="2" t="str">
        <f>전표_샘플!Q30</f>
        <v>FALSE</v>
      </c>
      <c r="K30" s="2" t="str">
        <f>전표_샘플!R30</f>
        <v>화물차 경유 명시</v>
      </c>
      <c r="L30" s="2" t="str">
        <f t="shared" si="1"/>
        <v>Scope 1 / 경유 / 1831.2 kgCO2e</v>
      </c>
    </row>
    <row r="31" spans="1:12" ht="12" customHeight="1">
      <c r="A31" s="2" t="str">
        <f>전표_샘플!A31</f>
        <v>I030</v>
      </c>
      <c r="B31" s="2" t="str">
        <f>전표_샘플!E31</f>
        <v>전기 사용료</v>
      </c>
      <c r="C31" s="2" t="str">
        <f>전표_샘플!K31</f>
        <v>Scope 2</v>
      </c>
      <c r="D31" s="2" t="str">
        <f>전표_샘플!M31</f>
        <v>전기</v>
      </c>
      <c r="E31" s="7">
        <f>전표_샘플!F31</f>
        <v>1950000</v>
      </c>
      <c r="F31" s="7">
        <f>전표_샘플!I31</f>
        <v>5800</v>
      </c>
      <c r="G31" s="7" t="str">
        <f>전표_샘플!J31</f>
        <v>kWh</v>
      </c>
      <c r="H31" s="7">
        <f>IFERROR(VLOOKUP(D31,배출계수!$A:$D,4,FALSE),"")</f>
        <v>0.4541</v>
      </c>
      <c r="I31" s="7">
        <f t="shared" si="0"/>
        <v>2633.78</v>
      </c>
      <c r="J31" s="2" t="str">
        <f>전표_샘플!Q31</f>
        <v>FALSE</v>
      </c>
      <c r="K31" s="2" t="str">
        <f>전표_샘플!R31</f>
        <v>전기 사용료</v>
      </c>
      <c r="L31" s="2" t="str">
        <f t="shared" si="1"/>
        <v>Scope 2 / 전기 / 2633.8 kgCO2e</v>
      </c>
    </row>
    <row r="32" spans="1:12" ht="12" customHeight="1">
      <c r="A32" s="2" t="str">
        <f>전표_샘플!A32</f>
        <v>I031</v>
      </c>
      <c r="B32" s="2" t="str">
        <f>전표_샘플!E32</f>
        <v>공장 가스비</v>
      </c>
      <c r="C32" s="2" t="str">
        <f>전표_샘플!K32</f>
        <v>Scope 1</v>
      </c>
      <c r="D32" s="2" t="str">
        <f>전표_샘플!M32</f>
        <v>가스종류 불명</v>
      </c>
      <c r="E32" s="7">
        <f>전표_샘플!F32</f>
        <v>270000</v>
      </c>
      <c r="F32" s="7">
        <f>전표_샘플!I32</f>
        <v>0</v>
      </c>
      <c r="G32" s="7">
        <f>전표_샘플!J32</f>
        <v>0</v>
      </c>
      <c r="H32" s="7">
        <f>IFERROR(VLOOKUP(D32,배출계수!$A:$D,4,FALSE),"")</f>
        <v>0</v>
      </c>
      <c r="I32" s="7">
        <f t="shared" si="0"/>
        <v>0</v>
      </c>
      <c r="J32" s="2" t="str">
        <f>전표_샘플!Q32</f>
        <v>TRUE</v>
      </c>
      <c r="K32" s="2" t="str">
        <f>전표_샘플!R32</f>
        <v>가스 종류 불명확</v>
      </c>
      <c r="L32" s="2" t="str">
        <f t="shared" si="1"/>
        <v>사람검토필요로 넘김</v>
      </c>
    </row>
    <row r="33" spans="1:12" ht="12" customHeight="1">
      <c r="A33" s="2" t="str">
        <f>전표_샘플!A33</f>
        <v>I032</v>
      </c>
      <c r="B33" s="2" t="str">
        <f>전표_샘플!E33</f>
        <v>직원 식대</v>
      </c>
      <c r="C33" s="2" t="str">
        <f>전표_샘플!K33</f>
        <v>제외</v>
      </c>
      <c r="D33" s="2" t="str">
        <f>전표_샘플!M33</f>
        <v>없음</v>
      </c>
      <c r="E33" s="7">
        <f>전표_샘플!F33</f>
        <v>420000</v>
      </c>
      <c r="F33" s="7">
        <f>전표_샘플!I33</f>
        <v>0</v>
      </c>
      <c r="G33" s="7">
        <f>전표_샘플!J33</f>
        <v>0</v>
      </c>
      <c r="H33" s="7">
        <f>IFERROR(VLOOKUP(D33,배출계수!$A:$D,4,FALSE),"")</f>
        <v>0</v>
      </c>
      <c r="I33" s="7">
        <f t="shared" si="0"/>
        <v>0</v>
      </c>
      <c r="J33" s="2" t="str">
        <f>전표_샘플!Q33</f>
        <v>FALSE</v>
      </c>
      <c r="K33" s="2" t="str">
        <f>전표_샘플!R33</f>
        <v>식대 제외</v>
      </c>
      <c r="L33" s="2" t="str">
        <f t="shared" si="1"/>
        <v>탄소 산정 제외</v>
      </c>
    </row>
    <row r="34" spans="1:12" ht="12" customHeight="1">
      <c r="A34" s="2" t="str">
        <f>전표_샘플!A34</f>
        <v>I033</v>
      </c>
      <c r="B34" s="2" t="str">
        <f>전표_샘플!E34</f>
        <v>전력 사용료</v>
      </c>
      <c r="C34" s="2" t="str">
        <f>전표_샘플!K34</f>
        <v>Scope 2</v>
      </c>
      <c r="D34" s="2" t="str">
        <f>전표_샘플!M34</f>
        <v>전기</v>
      </c>
      <c r="E34" s="7">
        <f>전표_샘플!F34</f>
        <v>2100000</v>
      </c>
      <c r="F34" s="7">
        <f>전표_샘플!I34</f>
        <v>6100</v>
      </c>
      <c r="G34" s="7" t="str">
        <f>전표_샘플!J34</f>
        <v>kWh</v>
      </c>
      <c r="H34" s="7">
        <f>IFERROR(VLOOKUP(D34,배출계수!$A:$D,4,FALSE),"")</f>
        <v>0.4541</v>
      </c>
      <c r="I34" s="7">
        <f t="shared" si="0"/>
        <v>2770.01</v>
      </c>
      <c r="J34" s="2" t="str">
        <f>전표_샘플!Q34</f>
        <v>FALSE</v>
      </c>
      <c r="K34" s="2" t="str">
        <f>전표_샘플!R34</f>
        <v>전력 사용료</v>
      </c>
      <c r="L34" s="2" t="str">
        <f t="shared" si="1"/>
        <v>Scope 2 / 전기 / 2770.0 kgCO2e</v>
      </c>
    </row>
    <row r="35" spans="1:12" ht="12" customHeight="1">
      <c r="A35" s="2" t="str">
        <f>전표_샘플!A35</f>
        <v>I034</v>
      </c>
      <c r="B35" s="2" t="str">
        <f>전표_샘플!E35</f>
        <v>휘발유</v>
      </c>
      <c r="C35" s="2" t="str">
        <f>전표_샘플!K35</f>
        <v>Scope 1</v>
      </c>
      <c r="D35" s="2" t="str">
        <f>전표_샘플!M35</f>
        <v>휘발유</v>
      </c>
      <c r="E35" s="7">
        <f>전표_샘플!F35</f>
        <v>120000</v>
      </c>
      <c r="F35" s="7">
        <f>전표_샘플!I35</f>
        <v>70</v>
      </c>
      <c r="G35" s="7" t="str">
        <f>전표_샘플!J35</f>
        <v>L</v>
      </c>
      <c r="H35" s="7">
        <f>IFERROR(VLOOKUP(D35,배출계수!$A:$D,4,FALSE),"")</f>
        <v>2.2210000000000001</v>
      </c>
      <c r="I35" s="7">
        <f t="shared" si="0"/>
        <v>155.47</v>
      </c>
      <c r="J35" s="2" t="str">
        <f>전표_샘플!Q35</f>
        <v>FALSE</v>
      </c>
      <c r="K35" s="2" t="str">
        <f>전표_샘플!R35</f>
        <v>휘발유 명시</v>
      </c>
      <c r="L35" s="2" t="str">
        <f t="shared" si="1"/>
        <v>Scope 1 / 휘발유 / 155.5 kgCO2e</v>
      </c>
    </row>
    <row r="36" spans="1:12" ht="12" customHeight="1">
      <c r="A36" s="2" t="str">
        <f>전표_샘플!A36</f>
        <v>I035</v>
      </c>
      <c r="B36" s="2" t="str">
        <f>전표_샘플!E36</f>
        <v>전기요금</v>
      </c>
      <c r="C36" s="2" t="str">
        <f>전표_샘플!K36</f>
        <v>Scope 2</v>
      </c>
      <c r="D36" s="2" t="str">
        <f>전표_샘플!M36</f>
        <v>전기</v>
      </c>
      <c r="E36" s="7">
        <f>전표_샘플!F36</f>
        <v>640000</v>
      </c>
      <c r="F36" s="7">
        <f>전표_샘플!I36</f>
        <v>1900</v>
      </c>
      <c r="G36" s="7" t="str">
        <f>전표_샘플!J36</f>
        <v>kWh</v>
      </c>
      <c r="H36" s="7">
        <f>IFERROR(VLOOKUP(D36,배출계수!$A:$D,4,FALSE),"")</f>
        <v>0.4541</v>
      </c>
      <c r="I36" s="7">
        <f t="shared" si="0"/>
        <v>862.79</v>
      </c>
      <c r="J36" s="2" t="str">
        <f>전표_샘플!Q36</f>
        <v>FALSE</v>
      </c>
      <c r="K36" s="2" t="str">
        <f>전표_샘플!R36</f>
        <v>전기요금</v>
      </c>
      <c r="L36" s="2" t="str">
        <f t="shared" si="1"/>
        <v>Scope 2 / 전기 / 862.8 kgCO2e</v>
      </c>
    </row>
    <row r="37" spans="1:12" ht="12" customHeight="1">
      <c r="A37" s="2" t="str">
        <f>전표_샘플!A37</f>
        <v>I036</v>
      </c>
      <c r="B37" s="2" t="str">
        <f>전표_샘플!E37</f>
        <v>LPG</v>
      </c>
      <c r="C37" s="2" t="str">
        <f>전표_샘플!K37</f>
        <v>Scope 1</v>
      </c>
      <c r="D37" s="2" t="str">
        <f>전표_샘플!M37</f>
        <v>LPG</v>
      </c>
      <c r="E37" s="7">
        <f>전표_샘플!F37</f>
        <v>155000</v>
      </c>
      <c r="F37" s="7">
        <f>전표_샘플!I37</f>
        <v>80</v>
      </c>
      <c r="G37" s="7" t="str">
        <f>전표_샘플!J37</f>
        <v>kg</v>
      </c>
      <c r="H37" s="7">
        <f>IFERROR(VLOOKUP(D37,배출계수!$A:$D,4,FALSE),"")</f>
        <v>3.722</v>
      </c>
      <c r="I37" s="7">
        <f t="shared" si="0"/>
        <v>297.76</v>
      </c>
      <c r="J37" s="2" t="str">
        <f>전표_샘플!Q37</f>
        <v>TRUE</v>
      </c>
      <c r="K37" s="2" t="str">
        <f>전표_샘플!R37</f>
        <v>LPG는 kg/L/Nm3 단위 확인 필요</v>
      </c>
      <c r="L37" s="2" t="str">
        <f t="shared" si="1"/>
        <v>사람검토필요로 넘김</v>
      </c>
    </row>
    <row r="38" spans="1:12" ht="12" customHeight="1">
      <c r="A38" s="2" t="str">
        <f>전표_샘플!A38</f>
        <v>I037</v>
      </c>
      <c r="B38" s="2" t="str">
        <f>전표_샘플!E38</f>
        <v>기타 유류대</v>
      </c>
      <c r="C38" s="2" t="str">
        <f>전표_샘플!K38</f>
        <v>Scope 1</v>
      </c>
      <c r="D38" s="2" t="str">
        <f>전표_샘플!M38</f>
        <v>연료종류 불명</v>
      </c>
      <c r="E38" s="7">
        <f>전표_샘플!F38</f>
        <v>240000</v>
      </c>
      <c r="F38" s="7">
        <f>전표_샘플!I38</f>
        <v>0</v>
      </c>
      <c r="G38" s="7">
        <f>전표_샘플!J38</f>
        <v>0</v>
      </c>
      <c r="H38" s="7">
        <f>IFERROR(VLOOKUP(D38,배출계수!$A:$D,4,FALSE),"")</f>
        <v>0</v>
      </c>
      <c r="I38" s="7">
        <f t="shared" si="0"/>
        <v>0</v>
      </c>
      <c r="J38" s="2" t="str">
        <f>전표_샘플!Q38</f>
        <v>TRUE</v>
      </c>
      <c r="K38" s="2" t="str">
        <f>전표_샘플!R38</f>
        <v>연료 종류가 불명확</v>
      </c>
      <c r="L38" s="2" t="str">
        <f t="shared" si="1"/>
        <v>사람검토필요로 넘김</v>
      </c>
    </row>
    <row r="39" spans="1:12" ht="12" customHeight="1">
      <c r="A39" s="2" t="str">
        <f>전표_샘플!A39</f>
        <v>I038</v>
      </c>
      <c r="B39" s="2" t="str">
        <f>전표_샘플!E39</f>
        <v>문구류</v>
      </c>
      <c r="C39" s="2" t="str">
        <f>전표_샘플!K39</f>
        <v>제외</v>
      </c>
      <c r="D39" s="2" t="str">
        <f>전표_샘플!M39</f>
        <v>없음</v>
      </c>
      <c r="E39" s="7">
        <f>전표_샘플!F39</f>
        <v>76000</v>
      </c>
      <c r="F39" s="7">
        <f>전표_샘플!I39</f>
        <v>0</v>
      </c>
      <c r="G39" s="7">
        <f>전표_샘플!J39</f>
        <v>0</v>
      </c>
      <c r="H39" s="7">
        <f>IFERROR(VLOOKUP(D39,배출계수!$A:$D,4,FALSE),"")</f>
        <v>0</v>
      </c>
      <c r="I39" s="7">
        <f t="shared" si="0"/>
        <v>0</v>
      </c>
      <c r="J39" s="2" t="str">
        <f>전표_샘플!Q39</f>
        <v>FALSE</v>
      </c>
      <c r="K39" s="2" t="str">
        <f>전표_샘플!R39</f>
        <v>문구류 제외</v>
      </c>
      <c r="L39" s="2" t="str">
        <f t="shared" si="1"/>
        <v>탄소 산정 제외</v>
      </c>
    </row>
    <row r="40" spans="1:12" ht="12" customHeight="1">
      <c r="A40" s="2" t="str">
        <f>전표_샘플!A40</f>
        <v>I039</v>
      </c>
      <c r="B40" s="2" t="str">
        <f>전표_샘플!E40</f>
        <v>공장 전기 사용료</v>
      </c>
      <c r="C40" s="2" t="str">
        <f>전표_샘플!K40</f>
        <v>Scope 2</v>
      </c>
      <c r="D40" s="2" t="str">
        <f>전표_샘플!M40</f>
        <v>전기</v>
      </c>
      <c r="E40" s="7">
        <f>전표_샘플!F40</f>
        <v>710000</v>
      </c>
      <c r="F40" s="7">
        <f>전표_샘플!I40</f>
        <v>2100</v>
      </c>
      <c r="G40" s="7" t="str">
        <f>전표_샘플!J40</f>
        <v>kWh</v>
      </c>
      <c r="H40" s="7">
        <f>IFERROR(VLOOKUP(D40,배출계수!$A:$D,4,FALSE),"")</f>
        <v>0.4541</v>
      </c>
      <c r="I40" s="7">
        <f t="shared" si="0"/>
        <v>953.61</v>
      </c>
      <c r="J40" s="2" t="str">
        <f>전표_샘플!Q40</f>
        <v>FALSE</v>
      </c>
      <c r="K40" s="2" t="str">
        <f>전표_샘플!R40</f>
        <v>전기 사용료</v>
      </c>
      <c r="L40" s="2" t="str">
        <f t="shared" si="1"/>
        <v>Scope 2 / 전기 / 953.6 kgCO2e</v>
      </c>
    </row>
    <row r="41" spans="1:12" ht="12" customHeight="1">
      <c r="A41" s="2" t="str">
        <f>전표_샘플!A41</f>
        <v>I040</v>
      </c>
      <c r="B41" s="2" t="str">
        <f>전표_샘플!E41</f>
        <v>도시가스 요금</v>
      </c>
      <c r="C41" s="2" t="str">
        <f>전표_샘플!K41</f>
        <v>Scope 1</v>
      </c>
      <c r="D41" s="2" t="str">
        <f>전표_샘플!M41</f>
        <v>도시가스</v>
      </c>
      <c r="E41" s="7">
        <f>전표_샘플!F41</f>
        <v>115000</v>
      </c>
      <c r="F41" s="7">
        <f>전표_샘플!I41</f>
        <v>95</v>
      </c>
      <c r="G41" s="7" t="str">
        <f>전표_샘플!J41</f>
        <v>m3</v>
      </c>
      <c r="H41" s="7">
        <f>IFERROR(VLOOKUP(D41,배출계수!$A:$D,4,FALSE),"")</f>
        <v>2.21</v>
      </c>
      <c r="I41" s="7">
        <f t="shared" si="0"/>
        <v>209.95</v>
      </c>
      <c r="J41" s="2" t="str">
        <f>전표_샘플!Q41</f>
        <v>FALSE</v>
      </c>
      <c r="K41" s="2" t="str">
        <f>전표_샘플!R41</f>
        <v>도시가스 사용량</v>
      </c>
      <c r="L41" s="2" t="str">
        <f t="shared" si="1"/>
        <v>Scope 1 / 도시가스 / 210.0 kgCO2e</v>
      </c>
    </row>
    <row r="42" spans="1:12" s="19" customFormat="1" ht="14.4">
      <c r="A42" s="22" t="s">
        <v>566</v>
      </c>
      <c r="B42" s="18" t="s">
        <v>573</v>
      </c>
      <c r="C42" s="22" t="s">
        <v>46</v>
      </c>
      <c r="D42" s="21" t="s">
        <v>48</v>
      </c>
      <c r="E42" s="23">
        <v>280000</v>
      </c>
      <c r="F42" s="23">
        <v>198.07</v>
      </c>
      <c r="G42" s="23" t="s">
        <v>346</v>
      </c>
      <c r="H42" s="23">
        <v>2.6160000000000001</v>
      </c>
      <c r="I42" s="20">
        <v>518.14</v>
      </c>
      <c r="J42" s="22" t="b">
        <v>0</v>
      </c>
      <c r="K42" s="18" t="s">
        <v>571</v>
      </c>
      <c r="L42" s="22" t="s">
        <v>572</v>
      </c>
    </row>
    <row r="43" spans="1:12">
      <c r="E43" s="8"/>
      <c r="F43" s="8"/>
      <c r="G43" s="8"/>
      <c r="H43" s="8"/>
      <c r="I43" s="8"/>
    </row>
    <row r="44" spans="1:12">
      <c r="E44" s="8"/>
      <c r="F44" s="8"/>
      <c r="G44" s="8"/>
      <c r="H44" s="8"/>
      <c r="I44" s="8"/>
    </row>
    <row r="45" spans="1:12">
      <c r="E45" s="8"/>
      <c r="F45" s="8"/>
      <c r="G45" s="8"/>
      <c r="H45" s="8"/>
      <c r="I45" s="8"/>
    </row>
    <row r="46" spans="1:12">
      <c r="E46" s="8"/>
      <c r="F46" s="8"/>
      <c r="G46" s="8"/>
      <c r="H46" s="8"/>
      <c r="I46" s="8"/>
    </row>
    <row r="47" spans="1:12">
      <c r="E47" s="8"/>
      <c r="F47" s="8"/>
      <c r="G47" s="8"/>
      <c r="H47" s="8"/>
      <c r="I47" s="8"/>
    </row>
    <row r="48" spans="1:12">
      <c r="E48" s="8"/>
      <c r="F48" s="8"/>
      <c r="G48" s="8"/>
      <c r="H48" s="8"/>
      <c r="I48" s="8"/>
    </row>
    <row r="49" spans="5:9">
      <c r="E49" s="8"/>
      <c r="F49" s="8"/>
      <c r="G49" s="8"/>
      <c r="H49" s="8"/>
      <c r="I49" s="8"/>
    </row>
    <row r="50" spans="5:9">
      <c r="E50" s="8"/>
      <c r="F50" s="8"/>
      <c r="G50" s="8"/>
      <c r="H50" s="8"/>
      <c r="I50" s="8"/>
    </row>
    <row r="51" spans="5:9">
      <c r="E51" s="8"/>
      <c r="F51" s="8"/>
      <c r="G51" s="8"/>
      <c r="H51" s="8"/>
      <c r="I51" s="8"/>
    </row>
    <row r="52" spans="5:9">
      <c r="E52" s="8"/>
      <c r="F52" s="8"/>
      <c r="G52" s="8"/>
      <c r="H52" s="8"/>
      <c r="I52" s="8"/>
    </row>
    <row r="53" spans="5:9">
      <c r="E53" s="8"/>
      <c r="F53" s="8"/>
      <c r="G53" s="8"/>
      <c r="H53" s="8"/>
      <c r="I53" s="8"/>
    </row>
    <row r="54" spans="5:9">
      <c r="E54" s="8"/>
      <c r="F54" s="8"/>
      <c r="G54" s="8"/>
      <c r="H54" s="8"/>
      <c r="I54" s="8"/>
    </row>
    <row r="55" spans="5:9">
      <c r="E55" s="8"/>
      <c r="F55" s="8"/>
      <c r="G55" s="8"/>
      <c r="H55" s="8"/>
      <c r="I55" s="8"/>
    </row>
    <row r="56" spans="5:9">
      <c r="E56" s="8"/>
      <c r="F56" s="8"/>
      <c r="G56" s="8"/>
      <c r="H56" s="8"/>
      <c r="I56" s="8"/>
    </row>
    <row r="57" spans="5:9">
      <c r="E57" s="8"/>
      <c r="F57" s="8"/>
      <c r="G57" s="8"/>
      <c r="H57" s="8"/>
      <c r="I57" s="8"/>
    </row>
    <row r="58" spans="5:9">
      <c r="E58" s="8"/>
      <c r="F58" s="8"/>
      <c r="G58" s="8"/>
      <c r="H58" s="8"/>
      <c r="I58" s="8"/>
    </row>
    <row r="59" spans="5:9">
      <c r="E59" s="8"/>
      <c r="F59" s="8"/>
      <c r="G59" s="8"/>
      <c r="H59" s="8"/>
      <c r="I59" s="8"/>
    </row>
    <row r="60" spans="5:9">
      <c r="E60" s="8"/>
      <c r="F60" s="8"/>
      <c r="G60" s="8"/>
      <c r="H60" s="8"/>
      <c r="I60" s="8"/>
    </row>
    <row r="61" spans="5:9">
      <c r="E61" s="8"/>
      <c r="F61" s="8"/>
      <c r="G61" s="8"/>
      <c r="H61" s="8"/>
      <c r="I61" s="8"/>
    </row>
    <row r="62" spans="5:9">
      <c r="E62" s="8"/>
      <c r="F62" s="8"/>
      <c r="G62" s="8"/>
      <c r="H62" s="8"/>
      <c r="I62" s="8"/>
    </row>
    <row r="63" spans="5:9">
      <c r="E63" s="8"/>
      <c r="F63" s="8"/>
      <c r="G63" s="8"/>
      <c r="H63" s="8"/>
      <c r="I63" s="8"/>
    </row>
    <row r="64" spans="5:9">
      <c r="E64" s="8"/>
      <c r="F64" s="8"/>
      <c r="G64" s="8"/>
      <c r="H64" s="8"/>
      <c r="I64" s="8"/>
    </row>
    <row r="65" spans="5:9">
      <c r="E65" s="8"/>
      <c r="F65" s="8"/>
      <c r="G65" s="8"/>
      <c r="H65" s="8"/>
      <c r="I65" s="8"/>
    </row>
    <row r="66" spans="5:9">
      <c r="E66" s="8"/>
      <c r="F66" s="8"/>
      <c r="G66" s="8"/>
      <c r="H66" s="8"/>
      <c r="I66" s="8"/>
    </row>
    <row r="67" spans="5:9">
      <c r="E67" s="8"/>
      <c r="F67" s="8"/>
      <c r="G67" s="8"/>
      <c r="H67" s="8"/>
      <c r="I67" s="8"/>
    </row>
    <row r="68" spans="5:9">
      <c r="E68" s="8"/>
      <c r="F68" s="8"/>
      <c r="G68" s="8"/>
      <c r="H68" s="8"/>
      <c r="I68" s="8"/>
    </row>
    <row r="69" spans="5:9">
      <c r="E69" s="8"/>
      <c r="F69" s="8"/>
      <c r="G69" s="8"/>
      <c r="H69" s="8"/>
      <c r="I69" s="8"/>
    </row>
    <row r="70" spans="5:9">
      <c r="E70" s="8"/>
      <c r="F70" s="8"/>
      <c r="G70" s="8"/>
      <c r="H70" s="8"/>
      <c r="I70" s="8"/>
    </row>
    <row r="71" spans="5:9">
      <c r="E71" s="8"/>
      <c r="F71" s="8"/>
      <c r="G71" s="8"/>
      <c r="H71" s="8"/>
      <c r="I71" s="8"/>
    </row>
    <row r="72" spans="5:9">
      <c r="E72" s="8"/>
      <c r="F72" s="8"/>
      <c r="G72" s="8"/>
      <c r="H72" s="8"/>
      <c r="I72" s="8"/>
    </row>
    <row r="73" spans="5:9">
      <c r="E73" s="8"/>
      <c r="F73" s="8"/>
      <c r="G73" s="8"/>
      <c r="H73" s="8"/>
      <c r="I73" s="8"/>
    </row>
    <row r="74" spans="5:9">
      <c r="E74" s="8"/>
      <c r="F74" s="8"/>
      <c r="G74" s="8"/>
      <c r="H74" s="8"/>
      <c r="I74" s="8"/>
    </row>
    <row r="75" spans="5:9">
      <c r="E75" s="8"/>
      <c r="F75" s="8"/>
      <c r="G75" s="8"/>
      <c r="H75" s="8"/>
      <c r="I75" s="8"/>
    </row>
    <row r="76" spans="5:9">
      <c r="E76" s="8"/>
      <c r="F76" s="8"/>
      <c r="G76" s="8"/>
      <c r="H76" s="8"/>
      <c r="I76" s="8"/>
    </row>
    <row r="77" spans="5:9">
      <c r="E77" s="8"/>
      <c r="F77" s="8"/>
      <c r="G77" s="8"/>
      <c r="H77" s="8"/>
      <c r="I77" s="8"/>
    </row>
    <row r="78" spans="5:9">
      <c r="E78" s="8"/>
      <c r="F78" s="8"/>
      <c r="G78" s="8"/>
      <c r="H78" s="8"/>
      <c r="I78" s="8"/>
    </row>
    <row r="79" spans="5:9">
      <c r="E79" s="8"/>
      <c r="F79" s="8"/>
      <c r="G79" s="8"/>
      <c r="H79" s="8"/>
      <c r="I79" s="8"/>
    </row>
    <row r="80" spans="5:9">
      <c r="E80" s="8"/>
      <c r="F80" s="8"/>
      <c r="G80" s="8"/>
      <c r="H80" s="8"/>
      <c r="I80" s="8"/>
    </row>
    <row r="81" spans="5:9">
      <c r="E81" s="8"/>
      <c r="F81" s="8"/>
      <c r="G81" s="8"/>
      <c r="H81" s="8"/>
      <c r="I81" s="8"/>
    </row>
    <row r="82" spans="5:9">
      <c r="E82" s="8"/>
      <c r="F82" s="8"/>
      <c r="G82" s="8"/>
      <c r="H82" s="8"/>
      <c r="I82" s="8"/>
    </row>
    <row r="83" spans="5:9">
      <c r="E83" s="8"/>
      <c r="F83" s="8"/>
      <c r="G83" s="8"/>
      <c r="H83" s="8"/>
      <c r="I83" s="8"/>
    </row>
    <row r="84" spans="5:9">
      <c r="E84" s="8"/>
      <c r="F84" s="8"/>
      <c r="G84" s="8"/>
      <c r="H84" s="8"/>
      <c r="I84" s="8"/>
    </row>
    <row r="85" spans="5:9">
      <c r="E85" s="8"/>
      <c r="F85" s="8"/>
      <c r="G85" s="8"/>
      <c r="H85" s="8"/>
      <c r="I85" s="8"/>
    </row>
    <row r="86" spans="5:9">
      <c r="E86" s="8"/>
      <c r="F86" s="8"/>
      <c r="G86" s="8"/>
      <c r="H86" s="8"/>
      <c r="I86" s="8"/>
    </row>
    <row r="87" spans="5:9">
      <c r="E87" s="8"/>
      <c r="F87" s="8"/>
      <c r="G87" s="8"/>
      <c r="H87" s="8"/>
      <c r="I87" s="8"/>
    </row>
    <row r="88" spans="5:9">
      <c r="E88" s="8"/>
      <c r="F88" s="8"/>
      <c r="G88" s="8"/>
      <c r="H88" s="8"/>
      <c r="I88" s="8"/>
    </row>
    <row r="89" spans="5:9">
      <c r="E89" s="8"/>
      <c r="F89" s="8"/>
      <c r="G89" s="8"/>
      <c r="H89" s="8"/>
      <c r="I89" s="8"/>
    </row>
    <row r="90" spans="5:9">
      <c r="E90" s="8"/>
      <c r="F90" s="8"/>
      <c r="G90" s="8"/>
      <c r="H90" s="8"/>
      <c r="I90" s="8"/>
    </row>
    <row r="91" spans="5:9">
      <c r="E91" s="8"/>
      <c r="F91" s="8"/>
      <c r="G91" s="8"/>
      <c r="H91" s="8"/>
      <c r="I91" s="8"/>
    </row>
    <row r="92" spans="5:9">
      <c r="E92" s="8"/>
      <c r="F92" s="8"/>
      <c r="G92" s="8"/>
      <c r="H92" s="8"/>
      <c r="I92" s="8"/>
    </row>
    <row r="93" spans="5:9">
      <c r="E93" s="8"/>
      <c r="F93" s="8"/>
      <c r="G93" s="8"/>
      <c r="H93" s="8"/>
      <c r="I93" s="8"/>
    </row>
    <row r="94" spans="5:9">
      <c r="E94" s="8"/>
      <c r="F94" s="8"/>
      <c r="G94" s="8"/>
      <c r="H94" s="8"/>
      <c r="I94" s="8"/>
    </row>
    <row r="95" spans="5:9">
      <c r="E95" s="8"/>
      <c r="F95" s="8"/>
      <c r="G95" s="8"/>
      <c r="H95" s="8"/>
      <c r="I95" s="8"/>
    </row>
    <row r="96" spans="5:9">
      <c r="E96" s="8"/>
      <c r="F96" s="8"/>
      <c r="G96" s="8"/>
      <c r="H96" s="8"/>
      <c r="I96" s="8"/>
    </row>
    <row r="97" spans="5:9">
      <c r="E97" s="8"/>
      <c r="F97" s="8"/>
      <c r="G97" s="8"/>
      <c r="H97" s="8"/>
      <c r="I97" s="8"/>
    </row>
    <row r="98" spans="5:9">
      <c r="E98" s="8"/>
      <c r="F98" s="8"/>
      <c r="G98" s="8"/>
      <c r="H98" s="8"/>
      <c r="I98" s="8"/>
    </row>
    <row r="99" spans="5:9">
      <c r="E99" s="8"/>
      <c r="F99" s="8"/>
      <c r="G99" s="8"/>
      <c r="H99" s="8"/>
      <c r="I99" s="8"/>
    </row>
    <row r="100" spans="5:9">
      <c r="E100" s="8"/>
      <c r="F100" s="8"/>
      <c r="G100" s="8"/>
      <c r="H100" s="8"/>
      <c r="I100" s="8"/>
    </row>
  </sheetData>
  <phoneticPr fontId="3" type="noConversion"/>
  <pageMargins left="0.7" right="0.7" top="0.75" bottom="0.75" header="0.3" footer="0.3"/>
  <pageSetup paperSize="9"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2"/>
  <sheetViews>
    <sheetView tabSelected="1" topLeftCell="A52" zoomScale="88" workbookViewId="0">
      <selection activeCell="A61" sqref="A61:XFD61"/>
    </sheetView>
  </sheetViews>
  <sheetFormatPr defaultRowHeight="13.8"/>
  <sheetData>
    <row r="1" spans="1:9" ht="17.399999999999999">
      <c r="A1" s="18" t="s">
        <v>494</v>
      </c>
      <c r="B1" s="18" t="s">
        <v>495</v>
      </c>
      <c r="C1" s="18" t="s">
        <v>496</v>
      </c>
      <c r="D1" s="18" t="s">
        <v>497</v>
      </c>
      <c r="E1" s="17" t="s">
        <v>476</v>
      </c>
      <c r="F1" s="18" t="s">
        <v>505</v>
      </c>
      <c r="G1" s="18" t="s">
        <v>506</v>
      </c>
      <c r="H1" s="18" t="s">
        <v>507</v>
      </c>
      <c r="I1" s="18" t="s">
        <v>508</v>
      </c>
    </row>
    <row r="2" spans="1:9" ht="14.4">
      <c r="A2" s="18" t="s">
        <v>60</v>
      </c>
      <c r="B2">
        <v>2025</v>
      </c>
      <c r="C2">
        <v>1</v>
      </c>
      <c r="D2">
        <v>1553.9</v>
      </c>
      <c r="E2" s="18" t="s">
        <v>479</v>
      </c>
      <c r="F2" t="s">
        <v>346</v>
      </c>
      <c r="G2" s="18" t="s">
        <v>511</v>
      </c>
      <c r="H2" s="18" t="s">
        <v>512</v>
      </c>
      <c r="I2" s="18" t="s">
        <v>513</v>
      </c>
    </row>
    <row r="3" spans="1:9" ht="14.4">
      <c r="A3" s="18" t="s">
        <v>60</v>
      </c>
      <c r="B3">
        <v>2025</v>
      </c>
      <c r="C3">
        <v>2</v>
      </c>
      <c r="D3">
        <v>1571.15</v>
      </c>
      <c r="E3" s="18" t="s">
        <v>479</v>
      </c>
      <c r="F3" t="s">
        <v>346</v>
      </c>
      <c r="G3" s="18" t="s">
        <v>511</v>
      </c>
      <c r="H3" s="18" t="s">
        <v>512</v>
      </c>
      <c r="I3" s="18" t="s">
        <v>514</v>
      </c>
    </row>
    <row r="4" spans="1:9" ht="14.4">
      <c r="A4" s="18" t="s">
        <v>60</v>
      </c>
      <c r="B4">
        <v>2025</v>
      </c>
      <c r="C4">
        <v>3</v>
      </c>
      <c r="D4">
        <v>1535.39</v>
      </c>
      <c r="E4" s="18" t="s">
        <v>479</v>
      </c>
      <c r="F4" t="s">
        <v>346</v>
      </c>
      <c r="G4" s="18" t="s">
        <v>511</v>
      </c>
      <c r="H4" s="18" t="s">
        <v>512</v>
      </c>
      <c r="I4" s="18" t="s">
        <v>515</v>
      </c>
    </row>
    <row r="5" spans="1:9" ht="14.4">
      <c r="A5" s="18" t="s">
        <v>60</v>
      </c>
      <c r="B5">
        <v>2025</v>
      </c>
      <c r="C5">
        <v>4</v>
      </c>
      <c r="D5">
        <v>1496.99</v>
      </c>
      <c r="E5" s="18" t="s">
        <v>479</v>
      </c>
      <c r="F5" t="s">
        <v>346</v>
      </c>
      <c r="G5" s="18" t="s">
        <v>511</v>
      </c>
      <c r="H5" s="18" t="s">
        <v>512</v>
      </c>
      <c r="I5" s="18" t="s">
        <v>516</v>
      </c>
    </row>
    <row r="6" spans="1:9" ht="14.4">
      <c r="A6" s="18" t="s">
        <v>60</v>
      </c>
      <c r="B6">
        <v>2025</v>
      </c>
      <c r="C6">
        <v>5</v>
      </c>
      <c r="D6">
        <v>1487.68</v>
      </c>
      <c r="E6" s="18" t="s">
        <v>479</v>
      </c>
      <c r="F6" t="s">
        <v>346</v>
      </c>
      <c r="G6" s="18" t="s">
        <v>511</v>
      </c>
      <c r="H6" s="18" t="s">
        <v>512</v>
      </c>
      <c r="I6" s="18" t="s">
        <v>517</v>
      </c>
    </row>
    <row r="7" spans="1:9" ht="14.4">
      <c r="A7" s="18" t="s">
        <v>60</v>
      </c>
      <c r="B7">
        <v>2025</v>
      </c>
      <c r="C7">
        <v>6</v>
      </c>
      <c r="D7">
        <v>1492.8</v>
      </c>
      <c r="E7" s="18" t="s">
        <v>479</v>
      </c>
      <c r="F7" t="s">
        <v>346</v>
      </c>
      <c r="G7" s="18" t="s">
        <v>511</v>
      </c>
      <c r="H7" s="18" t="s">
        <v>512</v>
      </c>
      <c r="I7" s="18" t="s">
        <v>518</v>
      </c>
    </row>
    <row r="8" spans="1:9" ht="14.4">
      <c r="A8" s="18" t="s">
        <v>60</v>
      </c>
      <c r="B8">
        <v>2025</v>
      </c>
      <c r="C8">
        <v>7</v>
      </c>
      <c r="D8">
        <v>1515.98</v>
      </c>
      <c r="E8" s="18" t="s">
        <v>479</v>
      </c>
      <c r="F8" t="s">
        <v>346</v>
      </c>
      <c r="G8" s="18" t="s">
        <v>511</v>
      </c>
      <c r="H8" s="18" t="s">
        <v>512</v>
      </c>
      <c r="I8" s="18" t="s">
        <v>519</v>
      </c>
    </row>
    <row r="9" spans="1:9" ht="14.4">
      <c r="A9" s="18" t="s">
        <v>60</v>
      </c>
      <c r="B9">
        <v>2025</v>
      </c>
      <c r="C9">
        <v>8</v>
      </c>
      <c r="D9">
        <v>1514.46</v>
      </c>
      <c r="E9" s="18" t="s">
        <v>479</v>
      </c>
      <c r="F9" t="s">
        <v>346</v>
      </c>
      <c r="G9" s="18" t="s">
        <v>511</v>
      </c>
      <c r="H9" s="18" t="s">
        <v>512</v>
      </c>
      <c r="I9" s="18" t="s">
        <v>520</v>
      </c>
    </row>
    <row r="10" spans="1:9" ht="14.4">
      <c r="A10" s="18" t="s">
        <v>60</v>
      </c>
      <c r="B10">
        <v>2025</v>
      </c>
      <c r="C10">
        <v>9</v>
      </c>
      <c r="D10">
        <v>1508.98</v>
      </c>
      <c r="E10" s="18" t="s">
        <v>479</v>
      </c>
      <c r="F10" t="s">
        <v>346</v>
      </c>
      <c r="G10" s="18" t="s">
        <v>511</v>
      </c>
      <c r="H10" s="18" t="s">
        <v>512</v>
      </c>
      <c r="I10" s="18" t="s">
        <v>521</v>
      </c>
    </row>
    <row r="11" spans="1:9" ht="14.4">
      <c r="A11" s="18" t="s">
        <v>60</v>
      </c>
      <c r="B11">
        <v>2025</v>
      </c>
      <c r="C11">
        <v>10</v>
      </c>
      <c r="D11">
        <v>1512.02</v>
      </c>
      <c r="E11" s="18" t="s">
        <v>479</v>
      </c>
      <c r="F11" t="s">
        <v>346</v>
      </c>
      <c r="G11" s="18" t="s">
        <v>511</v>
      </c>
      <c r="H11" s="18" t="s">
        <v>512</v>
      </c>
      <c r="I11" s="18" t="s">
        <v>522</v>
      </c>
    </row>
    <row r="12" spans="1:9" ht="14.4">
      <c r="A12" s="18" t="s">
        <v>60</v>
      </c>
      <c r="B12">
        <v>2025</v>
      </c>
      <c r="C12">
        <v>11</v>
      </c>
      <c r="D12">
        <v>1561.95</v>
      </c>
      <c r="E12" s="18" t="s">
        <v>479</v>
      </c>
      <c r="F12" t="s">
        <v>346</v>
      </c>
      <c r="G12" s="18" t="s">
        <v>511</v>
      </c>
      <c r="H12" s="18" t="s">
        <v>512</v>
      </c>
      <c r="I12" s="18" t="s">
        <v>523</v>
      </c>
    </row>
    <row r="13" spans="1:9" ht="14.4">
      <c r="A13" s="18" t="s">
        <v>60</v>
      </c>
      <c r="B13">
        <v>2025</v>
      </c>
      <c r="C13">
        <v>12</v>
      </c>
      <c r="D13">
        <v>1582</v>
      </c>
      <c r="E13" s="18" t="s">
        <v>479</v>
      </c>
      <c r="F13" t="s">
        <v>346</v>
      </c>
      <c r="G13" s="18" t="s">
        <v>511</v>
      </c>
      <c r="H13" s="18" t="s">
        <v>512</v>
      </c>
      <c r="I13" s="18" t="s">
        <v>524</v>
      </c>
    </row>
    <row r="14" spans="1:9" ht="14.4">
      <c r="A14" s="18" t="s">
        <v>48</v>
      </c>
      <c r="B14">
        <v>2025</v>
      </c>
      <c r="C14">
        <v>1</v>
      </c>
      <c r="D14">
        <v>1421.39</v>
      </c>
      <c r="E14" s="18" t="s">
        <v>479</v>
      </c>
      <c r="F14" t="s">
        <v>346</v>
      </c>
      <c r="G14" s="18" t="s">
        <v>511</v>
      </c>
      <c r="H14" s="18" t="s">
        <v>512</v>
      </c>
      <c r="I14" s="18" t="s">
        <v>525</v>
      </c>
    </row>
    <row r="15" spans="1:9" ht="14.4">
      <c r="A15" s="18" t="s">
        <v>48</v>
      </c>
      <c r="B15">
        <v>2025</v>
      </c>
      <c r="C15">
        <v>2</v>
      </c>
      <c r="D15">
        <v>1449.1</v>
      </c>
      <c r="E15" s="18" t="s">
        <v>479</v>
      </c>
      <c r="F15" t="s">
        <v>346</v>
      </c>
      <c r="G15" s="18" t="s">
        <v>511</v>
      </c>
      <c r="H15" s="18" t="s">
        <v>512</v>
      </c>
      <c r="I15" s="18" t="s">
        <v>526</v>
      </c>
    </row>
    <row r="16" spans="1:9" ht="14.4">
      <c r="A16" s="18" t="s">
        <v>48</v>
      </c>
      <c r="B16">
        <v>2025</v>
      </c>
      <c r="C16">
        <v>3</v>
      </c>
      <c r="D16">
        <v>1413.66</v>
      </c>
      <c r="E16" s="18" t="s">
        <v>479</v>
      </c>
      <c r="F16" t="s">
        <v>346</v>
      </c>
      <c r="G16" s="18" t="s">
        <v>511</v>
      </c>
      <c r="H16" s="18" t="s">
        <v>512</v>
      </c>
      <c r="I16" s="18" t="s">
        <v>527</v>
      </c>
    </row>
    <row r="17" spans="1:9" ht="14.4">
      <c r="A17" s="18" t="s">
        <v>48</v>
      </c>
      <c r="B17">
        <v>2025</v>
      </c>
      <c r="C17">
        <v>4</v>
      </c>
      <c r="D17">
        <v>1375.65</v>
      </c>
      <c r="E17" s="18" t="s">
        <v>479</v>
      </c>
      <c r="F17" t="s">
        <v>346</v>
      </c>
      <c r="G17" s="18" t="s">
        <v>511</v>
      </c>
      <c r="H17" s="18" t="s">
        <v>512</v>
      </c>
      <c r="I17" s="18" t="s">
        <v>528</v>
      </c>
    </row>
    <row r="18" spans="1:9" ht="14.4">
      <c r="A18" s="18" t="s">
        <v>48</v>
      </c>
      <c r="B18">
        <v>2025</v>
      </c>
      <c r="C18">
        <v>5</v>
      </c>
      <c r="D18">
        <v>1365.59</v>
      </c>
      <c r="E18" s="18" t="s">
        <v>479</v>
      </c>
      <c r="F18" t="s">
        <v>346</v>
      </c>
      <c r="G18" s="18" t="s">
        <v>511</v>
      </c>
      <c r="H18" s="18" t="s">
        <v>512</v>
      </c>
      <c r="I18" s="18" t="s">
        <v>529</v>
      </c>
    </row>
    <row r="19" spans="1:9" ht="14.4">
      <c r="A19" s="18" t="s">
        <v>48</v>
      </c>
      <c r="B19">
        <v>2025</v>
      </c>
      <c r="C19">
        <v>6</v>
      </c>
      <c r="D19">
        <v>1368.57</v>
      </c>
      <c r="E19" s="18" t="s">
        <v>479</v>
      </c>
      <c r="F19" t="s">
        <v>346</v>
      </c>
      <c r="G19" s="18" t="s">
        <v>511</v>
      </c>
      <c r="H19" s="18" t="s">
        <v>512</v>
      </c>
      <c r="I19" s="18" t="s">
        <v>530</v>
      </c>
    </row>
    <row r="20" spans="1:9" ht="14.4">
      <c r="A20" s="18" t="s">
        <v>48</v>
      </c>
      <c r="B20">
        <v>2025</v>
      </c>
      <c r="C20">
        <v>7</v>
      </c>
      <c r="D20">
        <v>1392.32</v>
      </c>
      <c r="E20" s="18" t="s">
        <v>479</v>
      </c>
      <c r="F20" t="s">
        <v>346</v>
      </c>
      <c r="G20" s="18" t="s">
        <v>511</v>
      </c>
      <c r="H20" s="18" t="s">
        <v>512</v>
      </c>
      <c r="I20" s="18" t="s">
        <v>531</v>
      </c>
    </row>
    <row r="21" spans="1:9" ht="14.4">
      <c r="A21" s="18" t="s">
        <v>48</v>
      </c>
      <c r="B21">
        <v>2025</v>
      </c>
      <c r="C21">
        <v>8</v>
      </c>
      <c r="D21">
        <v>1396.13</v>
      </c>
      <c r="E21" s="18" t="s">
        <v>479</v>
      </c>
      <c r="F21" t="s">
        <v>346</v>
      </c>
      <c r="G21" s="18" t="s">
        <v>511</v>
      </c>
      <c r="H21" s="18" t="s">
        <v>512</v>
      </c>
      <c r="I21" s="18" t="s">
        <v>532</v>
      </c>
    </row>
    <row r="22" spans="1:9" ht="14.4">
      <c r="A22" s="18" t="s">
        <v>48</v>
      </c>
      <c r="B22">
        <v>2025</v>
      </c>
      <c r="C22">
        <v>9</v>
      </c>
      <c r="D22">
        <v>1391.52</v>
      </c>
      <c r="E22" s="18" t="s">
        <v>479</v>
      </c>
      <c r="F22" t="s">
        <v>346</v>
      </c>
      <c r="G22" s="18" t="s">
        <v>511</v>
      </c>
      <c r="H22" s="18" t="s">
        <v>512</v>
      </c>
      <c r="I22" s="18" t="s">
        <v>533</v>
      </c>
    </row>
    <row r="23" spans="1:9" ht="14.4">
      <c r="A23" s="18" t="s">
        <v>48</v>
      </c>
      <c r="B23">
        <v>2025</v>
      </c>
      <c r="C23">
        <v>10</v>
      </c>
      <c r="D23">
        <v>1397.11</v>
      </c>
      <c r="E23" s="18" t="s">
        <v>479</v>
      </c>
      <c r="F23" t="s">
        <v>346</v>
      </c>
      <c r="G23" s="18" t="s">
        <v>511</v>
      </c>
      <c r="H23" s="18" t="s">
        <v>512</v>
      </c>
      <c r="I23" s="18" t="s">
        <v>534</v>
      </c>
    </row>
    <row r="24" spans="1:9" ht="14.4">
      <c r="A24" s="18" t="s">
        <v>48</v>
      </c>
      <c r="B24">
        <v>2025</v>
      </c>
      <c r="C24">
        <v>11</v>
      </c>
      <c r="D24">
        <v>1471.91</v>
      </c>
      <c r="E24" s="18" t="s">
        <v>479</v>
      </c>
      <c r="F24" t="s">
        <v>346</v>
      </c>
      <c r="G24" s="18" t="s">
        <v>511</v>
      </c>
      <c r="H24" s="18" t="s">
        <v>512</v>
      </c>
      <c r="I24" s="18" t="s">
        <v>535</v>
      </c>
    </row>
    <row r="25" spans="1:9" ht="14.4">
      <c r="A25" s="18" t="s">
        <v>48</v>
      </c>
      <c r="B25">
        <v>2025</v>
      </c>
      <c r="C25">
        <v>12</v>
      </c>
      <c r="D25">
        <v>1500.45</v>
      </c>
      <c r="E25" s="18" t="s">
        <v>479</v>
      </c>
      <c r="F25" t="s">
        <v>346</v>
      </c>
      <c r="G25" s="18" t="s">
        <v>511</v>
      </c>
      <c r="H25" s="18" t="s">
        <v>512</v>
      </c>
      <c r="I25" s="18" t="s">
        <v>536</v>
      </c>
    </row>
    <row r="26" spans="1:9" ht="14.4">
      <c r="A26" s="18" t="s">
        <v>537</v>
      </c>
      <c r="B26">
        <v>2025</v>
      </c>
      <c r="C26">
        <v>1</v>
      </c>
      <c r="D26">
        <v>1417.84</v>
      </c>
      <c r="E26" s="18" t="s">
        <v>482</v>
      </c>
      <c r="F26" t="s">
        <v>387</v>
      </c>
      <c r="G26" s="18" t="s">
        <v>511</v>
      </c>
      <c r="H26" s="18" t="s">
        <v>512</v>
      </c>
      <c r="I26" s="18" t="s">
        <v>538</v>
      </c>
    </row>
    <row r="27" spans="1:9" ht="14.4">
      <c r="A27" s="18" t="s">
        <v>537</v>
      </c>
      <c r="B27">
        <v>2025</v>
      </c>
      <c r="C27">
        <v>2</v>
      </c>
      <c r="D27">
        <v>1441.03</v>
      </c>
      <c r="E27" s="18" t="s">
        <v>482</v>
      </c>
      <c r="F27" t="s">
        <v>387</v>
      </c>
      <c r="G27" s="18" t="s">
        <v>511</v>
      </c>
      <c r="H27" s="18" t="s">
        <v>512</v>
      </c>
      <c r="I27" s="18" t="s">
        <v>539</v>
      </c>
    </row>
    <row r="28" spans="1:9" ht="14.4">
      <c r="A28" s="18" t="s">
        <v>537</v>
      </c>
      <c r="B28">
        <v>2025</v>
      </c>
      <c r="C28">
        <v>3</v>
      </c>
      <c r="D28">
        <v>1441.03</v>
      </c>
      <c r="E28" s="18" t="s">
        <v>482</v>
      </c>
      <c r="F28" t="s">
        <v>387</v>
      </c>
      <c r="G28" s="18" t="s">
        <v>511</v>
      </c>
      <c r="H28" s="18" t="s">
        <v>512</v>
      </c>
      <c r="I28" s="18" t="s">
        <v>539</v>
      </c>
    </row>
    <row r="29" spans="1:9" ht="14.4">
      <c r="A29" s="18" t="s">
        <v>537</v>
      </c>
      <c r="B29">
        <v>2025</v>
      </c>
      <c r="C29">
        <v>4</v>
      </c>
      <c r="D29">
        <v>1442.34</v>
      </c>
      <c r="E29" s="18" t="s">
        <v>482</v>
      </c>
      <c r="F29" t="s">
        <v>387</v>
      </c>
      <c r="G29" s="18" t="s">
        <v>511</v>
      </c>
      <c r="H29" s="18" t="s">
        <v>512</v>
      </c>
      <c r="I29" s="18" t="s">
        <v>540</v>
      </c>
    </row>
    <row r="30" spans="1:9" ht="14.4">
      <c r="A30" s="18" t="s">
        <v>537</v>
      </c>
      <c r="B30">
        <v>2025</v>
      </c>
      <c r="C30">
        <v>5</v>
      </c>
      <c r="D30">
        <v>1443.75</v>
      </c>
      <c r="E30" s="18" t="s">
        <v>482</v>
      </c>
      <c r="F30" t="s">
        <v>387</v>
      </c>
      <c r="G30" s="18" t="s">
        <v>511</v>
      </c>
      <c r="H30" s="18" t="s">
        <v>512</v>
      </c>
      <c r="I30" s="18" t="s">
        <v>541</v>
      </c>
    </row>
    <row r="31" spans="1:9" ht="14.4">
      <c r="A31" s="18" t="s">
        <v>537</v>
      </c>
      <c r="B31">
        <v>2025</v>
      </c>
      <c r="C31">
        <v>6</v>
      </c>
      <c r="D31">
        <v>1418.45</v>
      </c>
      <c r="E31" s="18" t="s">
        <v>482</v>
      </c>
      <c r="F31" t="s">
        <v>387</v>
      </c>
      <c r="G31" s="18" t="s">
        <v>511</v>
      </c>
      <c r="H31" s="18" t="s">
        <v>512</v>
      </c>
      <c r="I31" s="18" t="s">
        <v>542</v>
      </c>
    </row>
    <row r="32" spans="1:9" ht="14.4">
      <c r="A32" s="18" t="s">
        <v>537</v>
      </c>
      <c r="B32">
        <v>2025</v>
      </c>
      <c r="C32">
        <v>7</v>
      </c>
      <c r="D32">
        <v>1382.73</v>
      </c>
      <c r="E32" s="18" t="s">
        <v>482</v>
      </c>
      <c r="F32" t="s">
        <v>387</v>
      </c>
      <c r="G32" s="18" t="s">
        <v>511</v>
      </c>
      <c r="H32" s="18" t="s">
        <v>512</v>
      </c>
      <c r="I32" s="18" t="s">
        <v>543</v>
      </c>
    </row>
    <row r="33" spans="1:9" ht="14.4">
      <c r="A33" s="18" t="s">
        <v>537</v>
      </c>
      <c r="B33">
        <v>2025</v>
      </c>
      <c r="C33">
        <v>8</v>
      </c>
      <c r="D33">
        <v>1358.23</v>
      </c>
      <c r="E33" s="18" t="s">
        <v>482</v>
      </c>
      <c r="F33" t="s">
        <v>387</v>
      </c>
      <c r="G33" s="18" t="s">
        <v>511</v>
      </c>
      <c r="H33" s="18" t="s">
        <v>512</v>
      </c>
      <c r="I33" s="18" t="s">
        <v>544</v>
      </c>
    </row>
    <row r="34" spans="1:9" ht="14.4">
      <c r="A34" s="18" t="s">
        <v>537</v>
      </c>
      <c r="B34">
        <v>2025</v>
      </c>
      <c r="C34">
        <v>9</v>
      </c>
      <c r="D34">
        <v>1297.3900000000001</v>
      </c>
      <c r="E34" s="18" t="s">
        <v>482</v>
      </c>
      <c r="F34" t="s">
        <v>387</v>
      </c>
      <c r="G34" s="18" t="s">
        <v>511</v>
      </c>
      <c r="H34" s="18" t="s">
        <v>512</v>
      </c>
      <c r="I34" s="18" t="s">
        <v>545</v>
      </c>
    </row>
    <row r="35" spans="1:9" ht="14.4">
      <c r="A35" s="18" t="s">
        <v>537</v>
      </c>
      <c r="B35">
        <v>2025</v>
      </c>
      <c r="C35">
        <v>10</v>
      </c>
      <c r="D35">
        <v>1299.3699999999999</v>
      </c>
      <c r="E35" s="18" t="s">
        <v>482</v>
      </c>
      <c r="F35" t="s">
        <v>387</v>
      </c>
      <c r="G35" s="18" t="s">
        <v>511</v>
      </c>
      <c r="H35" s="18" t="s">
        <v>512</v>
      </c>
      <c r="I35" s="18" t="s">
        <v>546</v>
      </c>
    </row>
    <row r="36" spans="1:9" ht="14.4">
      <c r="A36" s="18" t="s">
        <v>537</v>
      </c>
      <c r="B36">
        <v>2025</v>
      </c>
      <c r="C36">
        <v>11</v>
      </c>
      <c r="D36">
        <v>1285.56</v>
      </c>
      <c r="E36" s="18" t="s">
        <v>482</v>
      </c>
      <c r="F36" t="s">
        <v>387</v>
      </c>
      <c r="G36" s="18" t="s">
        <v>511</v>
      </c>
      <c r="H36" s="18" t="s">
        <v>512</v>
      </c>
      <c r="I36" s="18" t="s">
        <v>547</v>
      </c>
    </row>
    <row r="37" spans="1:9" ht="14.4">
      <c r="A37" s="18" t="s">
        <v>537</v>
      </c>
      <c r="B37">
        <v>2025</v>
      </c>
      <c r="C37">
        <v>12</v>
      </c>
      <c r="D37">
        <v>1288.8699999999999</v>
      </c>
      <c r="E37" s="18" t="s">
        <v>482</v>
      </c>
      <c r="F37" t="s">
        <v>387</v>
      </c>
      <c r="G37" s="18" t="s">
        <v>511</v>
      </c>
      <c r="H37" s="18" t="s">
        <v>512</v>
      </c>
      <c r="I37" s="18" t="s">
        <v>548</v>
      </c>
    </row>
    <row r="38" spans="1:9" ht="14.4">
      <c r="A38" t="s">
        <v>549</v>
      </c>
      <c r="B38">
        <v>2025</v>
      </c>
      <c r="C38">
        <v>1</v>
      </c>
      <c r="D38">
        <v>1533.2</v>
      </c>
      <c r="E38" s="18" t="s">
        <v>482</v>
      </c>
      <c r="F38" t="s">
        <v>387</v>
      </c>
      <c r="G38" s="18" t="s">
        <v>511</v>
      </c>
      <c r="H38" s="18" t="s">
        <v>512</v>
      </c>
      <c r="I38" s="18" t="s">
        <v>550</v>
      </c>
    </row>
    <row r="39" spans="1:9" ht="14.4">
      <c r="A39" t="s">
        <v>549</v>
      </c>
      <c r="B39">
        <v>2025</v>
      </c>
      <c r="C39">
        <v>2</v>
      </c>
      <c r="D39">
        <v>1552.56</v>
      </c>
      <c r="E39" s="18" t="s">
        <v>482</v>
      </c>
      <c r="F39" t="s">
        <v>387</v>
      </c>
      <c r="G39" s="18" t="s">
        <v>511</v>
      </c>
      <c r="H39" s="18" t="s">
        <v>512</v>
      </c>
      <c r="I39" s="18" t="s">
        <v>551</v>
      </c>
    </row>
    <row r="40" spans="1:9" ht="14.4">
      <c r="A40" t="s">
        <v>549</v>
      </c>
      <c r="B40">
        <v>2025</v>
      </c>
      <c r="C40">
        <v>3</v>
      </c>
      <c r="D40">
        <v>1548.91</v>
      </c>
      <c r="E40" s="18" t="s">
        <v>482</v>
      </c>
      <c r="F40" t="s">
        <v>387</v>
      </c>
      <c r="G40" s="18" t="s">
        <v>511</v>
      </c>
      <c r="H40" s="18" t="s">
        <v>512</v>
      </c>
      <c r="I40" s="18" t="s">
        <v>552</v>
      </c>
    </row>
    <row r="41" spans="1:9" ht="14.4">
      <c r="A41" t="s">
        <v>549</v>
      </c>
      <c r="B41">
        <v>2025</v>
      </c>
      <c r="C41">
        <v>4</v>
      </c>
      <c r="D41">
        <v>1549.79</v>
      </c>
      <c r="E41" s="18" t="s">
        <v>482</v>
      </c>
      <c r="F41" t="s">
        <v>387</v>
      </c>
      <c r="G41" s="18" t="s">
        <v>511</v>
      </c>
      <c r="H41" s="18" t="s">
        <v>512</v>
      </c>
      <c r="I41" s="18" t="s">
        <v>553</v>
      </c>
    </row>
    <row r="42" spans="1:9" ht="14.4">
      <c r="A42" t="s">
        <v>549</v>
      </c>
      <c r="B42">
        <v>2025</v>
      </c>
      <c r="C42">
        <v>5</v>
      </c>
      <c r="D42">
        <v>1559.18</v>
      </c>
      <c r="E42" s="18" t="s">
        <v>482</v>
      </c>
      <c r="F42" t="s">
        <v>387</v>
      </c>
      <c r="G42" s="18" t="s">
        <v>511</v>
      </c>
      <c r="H42" s="18" t="s">
        <v>512</v>
      </c>
      <c r="I42" s="18" t="s">
        <v>554</v>
      </c>
    </row>
    <row r="43" spans="1:9" ht="14.4">
      <c r="A43" t="s">
        <v>549</v>
      </c>
      <c r="B43">
        <v>2025</v>
      </c>
      <c r="C43">
        <v>6</v>
      </c>
      <c r="D43">
        <v>1530.68</v>
      </c>
      <c r="E43" s="18" t="s">
        <v>482</v>
      </c>
      <c r="F43" t="s">
        <v>387</v>
      </c>
      <c r="G43" s="18" t="s">
        <v>511</v>
      </c>
      <c r="H43" s="18" t="s">
        <v>512</v>
      </c>
      <c r="I43" s="18" t="s">
        <v>555</v>
      </c>
    </row>
    <row r="44" spans="1:9" ht="14.4">
      <c r="A44" t="s">
        <v>549</v>
      </c>
      <c r="B44">
        <v>2025</v>
      </c>
      <c r="C44">
        <v>7</v>
      </c>
      <c r="D44">
        <v>1496.81</v>
      </c>
      <c r="E44" s="18" t="s">
        <v>482</v>
      </c>
      <c r="F44" t="s">
        <v>387</v>
      </c>
      <c r="G44" s="18" t="s">
        <v>511</v>
      </c>
      <c r="H44" s="18" t="s">
        <v>512</v>
      </c>
      <c r="I44" s="18" t="s">
        <v>556</v>
      </c>
    </row>
    <row r="45" spans="1:9" ht="14.4">
      <c r="A45" t="s">
        <v>549</v>
      </c>
      <c r="B45">
        <v>2025</v>
      </c>
      <c r="C45">
        <v>8</v>
      </c>
      <c r="D45">
        <v>1470.67</v>
      </c>
      <c r="E45" s="18" t="s">
        <v>482</v>
      </c>
      <c r="F45" t="s">
        <v>387</v>
      </c>
      <c r="G45" s="18" t="s">
        <v>511</v>
      </c>
      <c r="H45" s="18" t="s">
        <v>512</v>
      </c>
      <c r="I45" s="18" t="s">
        <v>557</v>
      </c>
    </row>
    <row r="46" spans="1:9" ht="14.4">
      <c r="A46" t="s">
        <v>549</v>
      </c>
      <c r="B46">
        <v>2025</v>
      </c>
      <c r="C46">
        <v>9</v>
      </c>
      <c r="D46">
        <v>1414.16</v>
      </c>
      <c r="E46" s="18" t="s">
        <v>482</v>
      </c>
      <c r="F46" t="s">
        <v>387</v>
      </c>
      <c r="G46" s="18" t="s">
        <v>511</v>
      </c>
      <c r="H46" s="18" t="s">
        <v>512</v>
      </c>
      <c r="I46" s="18" t="s">
        <v>558</v>
      </c>
    </row>
    <row r="47" spans="1:9" ht="14.4">
      <c r="A47" t="s">
        <v>549</v>
      </c>
      <c r="B47">
        <v>2025</v>
      </c>
      <c r="C47">
        <v>10</v>
      </c>
      <c r="D47">
        <v>1416.83</v>
      </c>
      <c r="E47" s="18" t="s">
        <v>482</v>
      </c>
      <c r="F47" t="s">
        <v>387</v>
      </c>
      <c r="G47" s="18" t="s">
        <v>511</v>
      </c>
      <c r="H47" s="18" t="s">
        <v>512</v>
      </c>
      <c r="I47" s="18" t="s">
        <v>559</v>
      </c>
    </row>
    <row r="48" spans="1:9" ht="14.4">
      <c r="A48" t="s">
        <v>549</v>
      </c>
      <c r="B48">
        <v>2025</v>
      </c>
      <c r="C48">
        <v>11</v>
      </c>
      <c r="D48">
        <v>1419.43</v>
      </c>
      <c r="E48" s="18" t="s">
        <v>482</v>
      </c>
      <c r="F48" t="s">
        <v>387</v>
      </c>
      <c r="G48" s="18" t="s">
        <v>511</v>
      </c>
      <c r="H48" s="18" t="s">
        <v>512</v>
      </c>
      <c r="I48" s="18" t="s">
        <v>560</v>
      </c>
    </row>
    <row r="49" spans="1:9" ht="14.4">
      <c r="A49" t="s">
        <v>549</v>
      </c>
      <c r="B49">
        <v>2025</v>
      </c>
      <c r="C49">
        <v>12</v>
      </c>
      <c r="D49">
        <v>1421.04</v>
      </c>
      <c r="E49" s="18" t="s">
        <v>482</v>
      </c>
      <c r="F49" t="s">
        <v>387</v>
      </c>
      <c r="G49" s="18" t="s">
        <v>511</v>
      </c>
      <c r="H49" s="18" t="s">
        <v>512</v>
      </c>
      <c r="I49" s="18" t="s">
        <v>561</v>
      </c>
    </row>
    <row r="50" spans="1:9" ht="14.4">
      <c r="A50" s="18" t="s">
        <v>19</v>
      </c>
      <c r="B50">
        <v>2025</v>
      </c>
      <c r="C50">
        <v>1</v>
      </c>
      <c r="E50" s="18" t="s">
        <v>483</v>
      </c>
      <c r="F50" t="s">
        <v>353</v>
      </c>
      <c r="G50" s="18" t="s">
        <v>509</v>
      </c>
      <c r="H50" s="18" t="s">
        <v>562</v>
      </c>
      <c r="I50" s="18" t="s">
        <v>563</v>
      </c>
    </row>
    <row r="51" spans="1:9" ht="14.4">
      <c r="A51" s="18" t="s">
        <v>19</v>
      </c>
      <c r="B51">
        <v>2025</v>
      </c>
      <c r="C51">
        <v>2</v>
      </c>
      <c r="E51" s="18" t="s">
        <v>483</v>
      </c>
      <c r="F51" t="s">
        <v>353</v>
      </c>
      <c r="G51" s="18" t="s">
        <v>509</v>
      </c>
      <c r="H51" s="18" t="s">
        <v>562</v>
      </c>
      <c r="I51" s="18" t="s">
        <v>563</v>
      </c>
    </row>
    <row r="52" spans="1:9" ht="14.4">
      <c r="A52" s="18" t="s">
        <v>19</v>
      </c>
      <c r="B52">
        <v>2025</v>
      </c>
      <c r="C52">
        <v>3</v>
      </c>
      <c r="E52" s="18" t="s">
        <v>483</v>
      </c>
      <c r="F52" t="s">
        <v>353</v>
      </c>
      <c r="G52" s="18" t="s">
        <v>509</v>
      </c>
      <c r="H52" s="18" t="s">
        <v>562</v>
      </c>
      <c r="I52" s="18" t="s">
        <v>563</v>
      </c>
    </row>
    <row r="53" spans="1:9" ht="14.4">
      <c r="A53" s="18" t="s">
        <v>19</v>
      </c>
      <c r="B53">
        <v>2025</v>
      </c>
      <c r="C53">
        <v>4</v>
      </c>
      <c r="E53" s="18" t="s">
        <v>483</v>
      </c>
      <c r="F53" t="s">
        <v>353</v>
      </c>
      <c r="G53" s="18" t="s">
        <v>509</v>
      </c>
      <c r="H53" s="18" t="s">
        <v>562</v>
      </c>
      <c r="I53" s="18" t="s">
        <v>563</v>
      </c>
    </row>
    <row r="54" spans="1:9" ht="14.4">
      <c r="A54" s="18" t="s">
        <v>19</v>
      </c>
      <c r="B54">
        <v>2025</v>
      </c>
      <c r="C54">
        <v>5</v>
      </c>
      <c r="E54" s="18" t="s">
        <v>483</v>
      </c>
      <c r="F54" t="s">
        <v>353</v>
      </c>
      <c r="G54" s="18" t="s">
        <v>509</v>
      </c>
      <c r="H54" s="18" t="s">
        <v>562</v>
      </c>
      <c r="I54" s="18" t="s">
        <v>563</v>
      </c>
    </row>
    <row r="55" spans="1:9" ht="14.4">
      <c r="A55" s="18" t="s">
        <v>19</v>
      </c>
      <c r="B55">
        <v>2025</v>
      </c>
      <c r="C55">
        <v>6</v>
      </c>
      <c r="E55" s="18" t="s">
        <v>483</v>
      </c>
      <c r="F55" t="s">
        <v>353</v>
      </c>
      <c r="G55" s="18" t="s">
        <v>509</v>
      </c>
      <c r="H55" s="18" t="s">
        <v>562</v>
      </c>
      <c r="I55" s="18" t="s">
        <v>563</v>
      </c>
    </row>
    <row r="56" spans="1:9" ht="14.4">
      <c r="A56" s="18" t="s">
        <v>19</v>
      </c>
      <c r="B56">
        <v>2025</v>
      </c>
      <c r="C56">
        <v>7</v>
      </c>
      <c r="E56" s="18" t="s">
        <v>483</v>
      </c>
      <c r="F56" t="s">
        <v>353</v>
      </c>
      <c r="G56" s="18" t="s">
        <v>509</v>
      </c>
      <c r="H56" s="18" t="s">
        <v>562</v>
      </c>
      <c r="I56" s="18" t="s">
        <v>563</v>
      </c>
    </row>
    <row r="57" spans="1:9" ht="14.4">
      <c r="A57" s="18" t="s">
        <v>19</v>
      </c>
      <c r="B57">
        <v>2025</v>
      </c>
      <c r="C57">
        <v>8</v>
      </c>
      <c r="E57" s="18" t="s">
        <v>483</v>
      </c>
      <c r="F57" t="s">
        <v>353</v>
      </c>
      <c r="G57" s="18" t="s">
        <v>509</v>
      </c>
      <c r="H57" s="18" t="s">
        <v>562</v>
      </c>
      <c r="I57" s="18" t="s">
        <v>563</v>
      </c>
    </row>
    <row r="58" spans="1:9" ht="14.4">
      <c r="A58" s="18" t="s">
        <v>19</v>
      </c>
      <c r="B58">
        <v>2025</v>
      </c>
      <c r="C58">
        <v>9</v>
      </c>
      <c r="E58" s="18" t="s">
        <v>483</v>
      </c>
      <c r="F58" t="s">
        <v>353</v>
      </c>
      <c r="G58" s="18" t="s">
        <v>509</v>
      </c>
      <c r="H58" s="18" t="s">
        <v>562</v>
      </c>
      <c r="I58" s="18" t="s">
        <v>563</v>
      </c>
    </row>
    <row r="59" spans="1:9" ht="14.4">
      <c r="A59" s="18" t="s">
        <v>19</v>
      </c>
      <c r="B59">
        <v>2025</v>
      </c>
      <c r="C59">
        <v>10</v>
      </c>
      <c r="E59" s="18" t="s">
        <v>483</v>
      </c>
      <c r="F59" t="s">
        <v>353</v>
      </c>
      <c r="G59" s="18" t="s">
        <v>509</v>
      </c>
      <c r="H59" s="18" t="s">
        <v>562</v>
      </c>
      <c r="I59" s="18" t="s">
        <v>563</v>
      </c>
    </row>
    <row r="60" spans="1:9" ht="14.4">
      <c r="A60" s="18" t="s">
        <v>19</v>
      </c>
      <c r="B60">
        <v>2025</v>
      </c>
      <c r="C60">
        <v>11</v>
      </c>
      <c r="E60" s="18" t="s">
        <v>483</v>
      </c>
      <c r="F60" t="s">
        <v>353</v>
      </c>
      <c r="G60" s="18" t="s">
        <v>509</v>
      </c>
      <c r="H60" s="18" t="s">
        <v>562</v>
      </c>
      <c r="I60" s="18" t="s">
        <v>563</v>
      </c>
    </row>
    <row r="61" spans="1:9" ht="14.4">
      <c r="A61" s="18" t="s">
        <v>87</v>
      </c>
      <c r="B61">
        <v>2025</v>
      </c>
      <c r="C61">
        <v>1</v>
      </c>
      <c r="E61" s="18" t="s">
        <v>510</v>
      </c>
      <c r="F61" t="s">
        <v>376</v>
      </c>
      <c r="G61" s="18" t="s">
        <v>509</v>
      </c>
      <c r="H61" s="18" t="s">
        <v>562</v>
      </c>
      <c r="I61" s="18" t="s">
        <v>564</v>
      </c>
    </row>
    <row r="62" spans="1:9">
      <c r="A62" s="18" t="s">
        <v>87</v>
      </c>
      <c r="B62">
        <v>2025</v>
      </c>
      <c r="C62">
        <v>2</v>
      </c>
      <c r="E62" s="18" t="s">
        <v>510</v>
      </c>
      <c r="F62" t="s">
        <v>376</v>
      </c>
      <c r="G62" s="18" t="s">
        <v>509</v>
      </c>
      <c r="H62" s="18" t="s">
        <v>562</v>
      </c>
      <c r="I62" s="18" t="s">
        <v>564</v>
      </c>
    </row>
    <row r="63" spans="1:9">
      <c r="A63" s="18" t="s">
        <v>87</v>
      </c>
      <c r="B63">
        <v>2025</v>
      </c>
      <c r="C63">
        <v>3</v>
      </c>
      <c r="E63" s="18" t="s">
        <v>510</v>
      </c>
      <c r="F63" t="s">
        <v>376</v>
      </c>
      <c r="G63" s="18" t="s">
        <v>509</v>
      </c>
      <c r="H63" s="18" t="s">
        <v>562</v>
      </c>
      <c r="I63" s="18" t="s">
        <v>564</v>
      </c>
    </row>
    <row r="64" spans="1:9">
      <c r="A64" s="18" t="s">
        <v>87</v>
      </c>
      <c r="B64">
        <v>2025</v>
      </c>
      <c r="C64">
        <v>4</v>
      </c>
      <c r="E64" s="18" t="s">
        <v>510</v>
      </c>
      <c r="F64" t="s">
        <v>376</v>
      </c>
      <c r="G64" s="18" t="s">
        <v>509</v>
      </c>
      <c r="H64" s="18" t="s">
        <v>562</v>
      </c>
      <c r="I64" s="18" t="s">
        <v>564</v>
      </c>
    </row>
    <row r="65" spans="1:9">
      <c r="A65" s="18" t="s">
        <v>87</v>
      </c>
      <c r="B65">
        <v>2025</v>
      </c>
      <c r="C65">
        <v>5</v>
      </c>
      <c r="E65" s="18" t="s">
        <v>510</v>
      </c>
      <c r="F65" t="s">
        <v>376</v>
      </c>
      <c r="G65" s="18" t="s">
        <v>509</v>
      </c>
      <c r="H65" s="18" t="s">
        <v>562</v>
      </c>
      <c r="I65" s="18" t="s">
        <v>564</v>
      </c>
    </row>
    <row r="66" spans="1:9">
      <c r="A66" s="18" t="s">
        <v>87</v>
      </c>
      <c r="B66">
        <v>2025</v>
      </c>
      <c r="C66">
        <v>6</v>
      </c>
      <c r="E66" s="18" t="s">
        <v>510</v>
      </c>
      <c r="F66" t="s">
        <v>376</v>
      </c>
      <c r="G66" s="18" t="s">
        <v>509</v>
      </c>
      <c r="H66" s="18" t="s">
        <v>562</v>
      </c>
      <c r="I66" s="18" t="s">
        <v>564</v>
      </c>
    </row>
    <row r="67" spans="1:9">
      <c r="A67" s="18" t="s">
        <v>87</v>
      </c>
      <c r="B67">
        <v>2025</v>
      </c>
      <c r="C67">
        <v>7</v>
      </c>
      <c r="E67" s="18" t="s">
        <v>510</v>
      </c>
      <c r="F67" t="s">
        <v>376</v>
      </c>
      <c r="G67" s="18" t="s">
        <v>509</v>
      </c>
      <c r="H67" s="18" t="s">
        <v>562</v>
      </c>
      <c r="I67" s="18" t="s">
        <v>564</v>
      </c>
    </row>
    <row r="68" spans="1:9">
      <c r="A68" s="18" t="s">
        <v>87</v>
      </c>
      <c r="B68">
        <v>2025</v>
      </c>
      <c r="C68">
        <v>8</v>
      </c>
      <c r="E68" s="18" t="s">
        <v>510</v>
      </c>
      <c r="F68" t="s">
        <v>376</v>
      </c>
      <c r="G68" s="18" t="s">
        <v>509</v>
      </c>
      <c r="H68" s="18" t="s">
        <v>562</v>
      </c>
      <c r="I68" s="18" t="s">
        <v>564</v>
      </c>
    </row>
    <row r="69" spans="1:9">
      <c r="A69" s="18" t="s">
        <v>87</v>
      </c>
      <c r="B69">
        <v>2025</v>
      </c>
      <c r="C69">
        <v>9</v>
      </c>
      <c r="E69" s="18" t="s">
        <v>510</v>
      </c>
      <c r="F69" t="s">
        <v>376</v>
      </c>
      <c r="G69" s="18" t="s">
        <v>509</v>
      </c>
      <c r="H69" s="18" t="s">
        <v>562</v>
      </c>
      <c r="I69" s="18" t="s">
        <v>564</v>
      </c>
    </row>
    <row r="70" spans="1:9">
      <c r="A70" s="18" t="s">
        <v>87</v>
      </c>
      <c r="B70">
        <v>2025</v>
      </c>
      <c r="C70">
        <v>10</v>
      </c>
      <c r="E70" s="18" t="s">
        <v>510</v>
      </c>
      <c r="F70" t="s">
        <v>376</v>
      </c>
      <c r="G70" s="18" t="s">
        <v>509</v>
      </c>
      <c r="H70" s="18" t="s">
        <v>562</v>
      </c>
      <c r="I70" s="18" t="s">
        <v>564</v>
      </c>
    </row>
    <row r="71" spans="1:9">
      <c r="A71" s="18" t="s">
        <v>87</v>
      </c>
      <c r="B71">
        <v>2025</v>
      </c>
      <c r="C71">
        <v>11</v>
      </c>
      <c r="E71" s="18" t="s">
        <v>510</v>
      </c>
      <c r="F71" t="s">
        <v>376</v>
      </c>
      <c r="G71" s="18" t="s">
        <v>509</v>
      </c>
      <c r="H71" s="18" t="s">
        <v>562</v>
      </c>
      <c r="I71" s="18" t="s">
        <v>564</v>
      </c>
    </row>
    <row r="72" spans="1:9">
      <c r="A72" s="18" t="s">
        <v>87</v>
      </c>
      <c r="B72">
        <v>2025</v>
      </c>
      <c r="C72">
        <v>12</v>
      </c>
      <c r="E72" s="18" t="s">
        <v>510</v>
      </c>
      <c r="F72" t="s">
        <v>376</v>
      </c>
      <c r="G72" s="18" t="s">
        <v>509</v>
      </c>
      <c r="H72" s="18" t="s">
        <v>562</v>
      </c>
      <c r="I72" s="18" t="s">
        <v>564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전표_샘플</vt:lpstr>
      <vt:lpstr>분류_기준표_확장</vt:lpstr>
      <vt:lpstr>배출계수</vt:lpstr>
      <vt:lpstr>기대_결과</vt:lpstr>
      <vt:lpstr>월별단가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jayeong</dc:creator>
  <cp:lastModifiedBy>장자영</cp:lastModifiedBy>
  <dcterms:created xsi:type="dcterms:W3CDTF">2026-07-09T16:50:02Z</dcterms:created>
  <dcterms:modified xsi:type="dcterms:W3CDTF">2026-07-14T08:27:28Z</dcterms:modified>
</cp:coreProperties>
</file>