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600" firstSheet="0" activeTab="1" autoFilterDateGrouping="1"/>
  </bookViews>
  <sheets>
    <sheet name="전표_샘플" sheetId="1" state="visible" r:id="rId1"/>
    <sheet name="분류_기준표_확장" sheetId="2" state="visible" r:id="rId2"/>
    <sheet name="배출계수" sheetId="3" state="visible" r:id="rId3"/>
    <sheet name="기대_결과" sheetId="4" state="visible" r:id="rId4"/>
    <sheet name="월별단가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yyyy\-mm\-dd"/>
    <numFmt numFmtId="165" formatCode="#,##0.0"/>
    <numFmt numFmtId="166" formatCode="#,##0.000"/>
  </numFmts>
  <fonts count="9">
    <font>
      <name val="Carlito"/>
      <sz val="11"/>
    </font>
    <font>
      <name val="Carlito"/>
      <b val="1"/>
      <color rgb="FFFFFFFF"/>
      <sz val="11"/>
    </font>
    <font>
      <name val="Carlito"/>
      <sz val="11"/>
    </font>
    <font>
      <name val="돋움"/>
      <charset val="129"/>
      <family val="3"/>
      <sz val="8"/>
    </font>
    <font>
      <name val="Carlito"/>
      <color theme="10"/>
      <sz val="11"/>
      <u val="single"/>
    </font>
    <font>
      <name val="맑은 고딕"/>
      <charset val="129"/>
      <family val="3"/>
      <b val="1"/>
      <color rgb="FFFFFFFF"/>
      <sz val="11"/>
    </font>
    <font>
      <name val="Arial"/>
      <family val="2"/>
      <b val="1"/>
      <color rgb="FFFFFFFF"/>
      <sz val="11"/>
    </font>
    <font>
      <name val="Carlito"/>
      <charset val="129"/>
      <family val="3"/>
      <b val="1"/>
      <color rgb="FFFFFFFF"/>
      <sz val="11"/>
    </font>
    <font>
      <name val="맑은 고딕"/>
      <charset val="129"/>
      <family val="3"/>
      <sz val="11"/>
    </font>
  </fonts>
  <fills count="4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3">
    <xf numFmtId="0" fontId="2" fillId="0" borderId="0"/>
    <xf numFmtId="0" fontId="2" fillId="0" borderId="0"/>
    <xf numFmtId="0" fontId="4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1">
      <alignment horizontal="center" vertical="center" wrapText="1"/>
    </xf>
    <xf numFmtId="0" fontId="0" fillId="0" borderId="0" applyAlignment="1" pivotButton="0" quotePrefix="0" xfId="1">
      <alignment wrapText="1"/>
    </xf>
    <xf numFmtId="0" fontId="0" fillId="0" borderId="0" applyAlignment="1" pivotButton="0" quotePrefix="0" xfId="1">
      <alignment wrapText="1"/>
    </xf>
    <xf numFmtId="164" fontId="0" fillId="0" borderId="0" applyAlignment="1" pivotButton="0" quotePrefix="0" xfId="1">
      <alignment wrapText="1"/>
    </xf>
    <xf numFmtId="164" fontId="0" fillId="0" borderId="0" pivotButton="0" quotePrefix="0" xfId="1"/>
    <xf numFmtId="3" fontId="0" fillId="0" borderId="0" applyAlignment="1" pivotButton="0" quotePrefix="0" xfId="1">
      <alignment wrapText="1"/>
    </xf>
    <xf numFmtId="3" fontId="0" fillId="0" borderId="0" pivotButton="0" quotePrefix="0" xfId="1"/>
    <xf numFmtId="165" fontId="0" fillId="0" borderId="0" applyAlignment="1" pivotButton="0" quotePrefix="0" xfId="1">
      <alignment wrapText="1"/>
    </xf>
    <xf numFmtId="165" fontId="0" fillId="0" borderId="0" pivotButton="0" quotePrefix="0" xfId="1"/>
    <xf numFmtId="4" fontId="0" fillId="0" borderId="0" applyAlignment="1" pivotButton="0" quotePrefix="0" xfId="1">
      <alignment wrapText="1"/>
    </xf>
    <xf numFmtId="4" fontId="0" fillId="0" borderId="0" pivotButton="0" quotePrefix="0" xfId="1"/>
    <xf numFmtId="0" fontId="4" fillId="0" borderId="0" applyAlignment="1" pivotButton="0" quotePrefix="0" xfId="2">
      <alignment wrapText="1"/>
    </xf>
    <xf numFmtId="0" fontId="7" fillId="2" borderId="0" applyAlignment="1" pivotButton="0" quotePrefix="0" xfId="1">
      <alignment horizontal="center" vertical="center" wrapText="1"/>
    </xf>
    <xf numFmtId="0" fontId="8" fillId="0" borderId="0" applyAlignment="1" pivotButton="0" quotePrefix="0" xfId="1">
      <alignment wrapText="1"/>
    </xf>
    <xf numFmtId="0" fontId="0" fillId="0" borderId="0" applyAlignment="1" pivotButton="0" quotePrefix="0" xfId="1">
      <alignment vertical="center" wrapText="1"/>
    </xf>
    <xf numFmtId="0" fontId="0" fillId="0" borderId="0" applyAlignment="1" pivotButton="0" quotePrefix="0" xfId="1">
      <alignment vertical="center" wrapText="1"/>
    </xf>
    <xf numFmtId="0" fontId="1" fillId="3" borderId="0" applyAlignment="1" pivotButton="0" quotePrefix="0" xfId="1">
      <alignment horizontal="center" vertical="center" wrapText="1"/>
    </xf>
    <xf numFmtId="166" fontId="0" fillId="0" borderId="0" applyAlignment="1" pivotButton="0" quotePrefix="0" xfId="1">
      <alignment wrapText="1"/>
    </xf>
    <xf numFmtId="164" fontId="0" fillId="0" borderId="0" applyAlignment="1" pivotButton="0" quotePrefix="0" xfId="1">
      <alignment wrapText="1"/>
    </xf>
    <xf numFmtId="165" fontId="0" fillId="0" borderId="0" applyAlignment="1" pivotButton="0" quotePrefix="0" xfId="1">
      <alignment wrapText="1"/>
    </xf>
    <xf numFmtId="164" fontId="0" fillId="0" borderId="0" pivotButton="0" quotePrefix="0" xfId="1"/>
    <xf numFmtId="165" fontId="0" fillId="0" borderId="0" pivotButton="0" quotePrefix="0" xfId="1"/>
    <xf numFmtId="166" fontId="0" fillId="0" borderId="0" applyAlignment="1" pivotButton="0" quotePrefix="0" xfId="1">
      <alignment wrapText="1"/>
    </xf>
  </cellXfs>
  <cellStyles count="3">
    <cellStyle name="표준" xfId="0" builtinId="0"/>
    <cellStyle name="Normal" xfId="1"/>
    <cellStyle name="하이퍼링크" xfId="2" builtinId="8"/>
  </cellStyles>
  <dxfs count="5">
    <dxf>
      <numFmt numFmtId="178" formatCode="#,##0.000"/>
    </dxf>
    <dxf>
      <fill>
        <patternFill patternType="solid">
          <bgColor rgb="FFFECACA"/>
        </patternFill>
      </fill>
    </dxf>
    <dxf>
      <fill>
        <patternFill patternType="solid">
          <bgColor rgb="FFE5E7EB"/>
        </patternFill>
      </fill>
    </dxf>
    <dxf>
      <fill>
        <patternFill patternType="solid">
          <bgColor rgb="FFDBEAFE"/>
        </patternFill>
      </fill>
    </dxf>
    <dxf>
      <fill>
        <patternFill patternType="solid">
          <bgColor rgb="FFFEF3C7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InvoicesTable" displayName="InvoicesTable" ref="A1:S41" headerRowCount="1">
  <tableColumns count="19">
    <tableColumn id="1" name="전표ID"/>
    <tableColumn id="2" name="기업ID"/>
    <tableColumn id="3" name="날짜"/>
    <tableColumn id="4" name="거래처"/>
    <tableColumn id="5" name="품목명"/>
    <tableColumn id="6" name="공급가액"/>
    <tableColumn id="7" name="부가세"/>
    <tableColumn id="8" name="합계금액"/>
    <tableColumn id="9" name="수량"/>
    <tableColumn id="10" name="단위"/>
    <tableColumn id="11" name="정답Scope"/>
    <tableColumn id="12" name="정답분류"/>
    <tableColumn id="13" name="정답연료"/>
    <tableColumn id="14" name="데이터품질"/>
    <tableColumn id="15" name="혼합품목"/>
    <tableColumn id="16" name="배분규칙"/>
    <tableColumn id="17" name="사람검토필요"/>
    <tableColumn id="18" name="근거"/>
    <tableColumn id="19" name="개발메모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RulesTable6" displayName="RulesTable6" ref="A1:N51" headerRowCount="1">
  <tableColumns count="14">
    <tableColumn id="1" name="rule_id"/>
    <tableColumn id="2" name="우선순위"/>
    <tableColumn id="3" name="대표키워드/문구"/>
    <tableColumn id="4" name="포함 키워드"/>
    <tableColumn id="5" name="제외/주의 키워드"/>
    <tableColumn id="6" name="정답Scope"/>
    <tableColumn id="7" name="세부분류"/>
    <tableColumn id="8" name="연료/항목"/>
    <tableColumn id="9" name="자동처리"/>
    <tableColumn id="10" name="사람검토필요"/>
    <tableColumn id="11" name="혼합품목 플래그"/>
    <tableColumn id="12" name="기본 데이터품질"/>
    <tableColumn id="13" name="판단기준/근거"/>
    <tableColumn id="14" name="예시 전표 문구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EmissionFactorsTable" displayName="EmissionFactorsTable" ref="A1:H9" headerRowCount="1">
  <tableColumns count="8">
    <tableColumn id="1" name="연료/에너지"/>
    <tableColumn id="2" name="Scope"/>
    <tableColumn id="3" name="단위"/>
    <tableColumn id="4" name="배출계수_kgCO2e_per_unit" dataDxfId="0"/>
    <tableColumn id="5" name="월별_환산단가_공급가액"/>
    <tableColumn id="6" name="단가단위"/>
    <tableColumn id="7" name="출처URL"/>
    <tableColumn id="8" name="비고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ExpectedOutputsTable" displayName="ExpectedOutputsTable" ref="A1:L41" headerRowCount="1">
  <tableColumns count="12">
    <tableColumn id="1" name="전표ID"/>
    <tableColumn id="2" name="품목명"/>
    <tableColumn id="3" name="결과Scope"/>
    <tableColumn id="4" name="결과연료"/>
    <tableColumn id="5" name="공급가액"/>
    <tableColumn id="6" name="활동량"/>
    <tableColumn id="7" name="단위"/>
    <tableColumn id="8" name="배출계수"/>
    <tableColumn id="9" name="예상배출량_kgCO2e"/>
    <tableColumn id="10" name="사람검토필요"/>
    <tableColumn id="11" name="결과근거"/>
    <tableColumn id="12" name="뱉어야 하는 핵심 결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gir.go.kr/" TargetMode="External" Id="rId1" /><Relationship Type="http://schemas.openxmlformats.org/officeDocument/2006/relationships/table" Target="/xl/tables/table3.xml" Id="rId2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0"/>
  <sheetViews>
    <sheetView topLeftCell="A21" workbookViewId="0">
      <selection activeCell="A1" sqref="A1"/>
    </sheetView>
  </sheetViews>
  <sheetFormatPr baseColWidth="8" defaultRowHeight="13.8"/>
  <cols>
    <col width="5.8984375" customWidth="1" min="1" max="2"/>
    <col width="9.09765625" customWidth="1" min="3" max="3"/>
    <col width="11.5" customWidth="1" min="4" max="4"/>
    <col width="24" customWidth="1" min="5" max="5"/>
    <col width="11" customWidth="1" min="6" max="6"/>
    <col width="8.69921875" customWidth="1" min="7" max="7"/>
    <col width="10.3984375" customWidth="1" min="8" max="8"/>
    <col width="7.3984375" bestFit="1" customWidth="1" min="9" max="9"/>
    <col width="4.19921875" customWidth="1" min="10" max="10"/>
    <col width="8.69921875" customWidth="1" min="11" max="11"/>
    <col width="9.69921875" customWidth="1" min="12" max="12"/>
    <col width="12" customWidth="1" min="13" max="13"/>
    <col width="9.69921875" customWidth="1" min="14" max="14"/>
    <col width="7.8984375" customWidth="1" min="15" max="15"/>
    <col width="10.59765625" customWidth="1" min="16" max="16"/>
    <col width="11.5" customWidth="1" min="17" max="17"/>
    <col width="32" customWidth="1" min="18" max="18"/>
    <col width="20" customWidth="1" min="19" max="19"/>
  </cols>
  <sheetData>
    <row r="1" ht="12" customHeight="1">
      <c r="A1" s="1" t="inlineStr">
        <is>
          <t>전표ID</t>
        </is>
      </c>
      <c r="B1" s="1" t="inlineStr">
        <is>
          <t>기업ID</t>
        </is>
      </c>
      <c r="C1" s="1" t="inlineStr">
        <is>
          <t>날짜</t>
        </is>
      </c>
      <c r="D1" s="1" t="inlineStr">
        <is>
          <t>거래처</t>
        </is>
      </c>
      <c r="E1" s="1" t="inlineStr">
        <is>
          <t>품목명</t>
        </is>
      </c>
      <c r="F1" s="1" t="inlineStr">
        <is>
          <t>공급가액</t>
        </is>
      </c>
      <c r="G1" s="1" t="inlineStr">
        <is>
          <t>부가세</t>
        </is>
      </c>
      <c r="H1" s="1" t="inlineStr">
        <is>
          <t>합계금액</t>
        </is>
      </c>
      <c r="I1" s="1" t="inlineStr">
        <is>
          <t>수량</t>
        </is>
      </c>
      <c r="J1" s="1" t="inlineStr">
        <is>
          <t>단위</t>
        </is>
      </c>
      <c r="K1" s="1" t="inlineStr">
        <is>
          <t>정답Scope</t>
        </is>
      </c>
      <c r="L1" s="1" t="inlineStr">
        <is>
          <t>정답분류</t>
        </is>
      </c>
      <c r="M1" s="1" t="inlineStr">
        <is>
          <t>정답연료</t>
        </is>
      </c>
      <c r="N1" s="1" t="inlineStr">
        <is>
          <t>데이터품질</t>
        </is>
      </c>
      <c r="O1" s="1" t="inlineStr">
        <is>
          <t>혼합품목</t>
        </is>
      </c>
      <c r="P1" s="1" t="inlineStr">
        <is>
          <t>배분규칙</t>
        </is>
      </c>
      <c r="Q1" s="1" t="inlineStr">
        <is>
          <t>사람검토필요</t>
        </is>
      </c>
      <c r="R1" s="1" t="inlineStr">
        <is>
          <t>근거</t>
        </is>
      </c>
      <c r="S1" s="1" t="inlineStr">
        <is>
          <t>개발메모</t>
        </is>
      </c>
    </row>
    <row r="2" ht="12" customHeight="1">
      <c r="A2" s="3" t="inlineStr">
        <is>
          <t>I001</t>
        </is>
      </c>
      <c r="B2" s="3" t="inlineStr">
        <is>
          <t>C001</t>
        </is>
      </c>
      <c r="C2" s="19" t="inlineStr">
        <is>
          <t>2026-03-12</t>
        </is>
      </c>
      <c r="D2" s="3" t="inlineStr">
        <is>
          <t>구미에너지</t>
        </is>
      </c>
      <c r="E2" s="3" t="inlineStr">
        <is>
          <t>지게차 경유 외 1종</t>
        </is>
      </c>
      <c r="F2" s="6" t="n">
        <v>654000</v>
      </c>
      <c r="G2" s="6" t="n">
        <v>65400</v>
      </c>
      <c r="H2" s="6" t="n">
        <v>719400</v>
      </c>
      <c r="I2" s="20" t="n">
        <v>500</v>
      </c>
      <c r="J2" s="3" t="inlineStr">
        <is>
          <t>L</t>
        </is>
      </c>
      <c r="K2" s="3" t="inlineStr">
        <is>
          <t>Scope 1</t>
        </is>
      </c>
      <c r="L2" s="3" t="inlineStr">
        <is>
          <t>이동연소</t>
        </is>
      </c>
      <c r="M2" s="3" t="inlineStr">
        <is>
          <t>경유</t>
        </is>
      </c>
      <c r="N2" s="3" t="inlineStr">
        <is>
          <t>A</t>
        </is>
      </c>
      <c r="O2" s="3" t="b">
        <v>1</v>
      </c>
      <c r="P2" s="3" t="inlineStr">
        <is>
          <t>주품목 100%</t>
        </is>
      </c>
      <c r="Q2" s="3" t="inlineStr">
        <is>
          <t>FALSE</t>
        </is>
      </c>
      <c r="R2" s="3" t="inlineStr">
        <is>
          <t>지게차+경유가 명시되어 직접배출</t>
        </is>
      </c>
      <c r="S2" s="3" t="inlineStr">
        <is>
          <t>명확 케이스</t>
        </is>
      </c>
    </row>
    <row r="3" ht="12" customHeight="1">
      <c r="A3" s="3" t="inlineStr">
        <is>
          <t>I002</t>
        </is>
      </c>
      <c r="B3" s="3" t="inlineStr">
        <is>
          <t>C001</t>
        </is>
      </c>
      <c r="C3" s="19" t="inlineStr">
        <is>
          <t>2026-03-20</t>
        </is>
      </c>
      <c r="D3" s="3" t="inlineStr">
        <is>
          <t>한국전력</t>
        </is>
      </c>
      <c r="E3" s="3" t="inlineStr">
        <is>
          <t>공장 전기요금</t>
        </is>
      </c>
      <c r="F3" s="6" t="n">
        <v>1200000</v>
      </c>
      <c r="G3" s="6" t="n">
        <v>120000</v>
      </c>
      <c r="H3" s="6" t="n">
        <v>1320000</v>
      </c>
      <c r="I3" s="20" t="n">
        <v>3500</v>
      </c>
      <c r="J3" s="3" t="inlineStr">
        <is>
          <t>kWh</t>
        </is>
      </c>
      <c r="K3" s="3" t="inlineStr">
        <is>
          <t>Scope 2</t>
        </is>
      </c>
      <c r="L3" s="3" t="inlineStr">
        <is>
          <t>전력사용</t>
        </is>
      </c>
      <c r="M3" s="3" t="inlineStr">
        <is>
          <t>전기</t>
        </is>
      </c>
      <c r="N3" s="3" t="inlineStr">
        <is>
          <t>A</t>
        </is>
      </c>
      <c r="O3" s="3" t="b">
        <v>0</v>
      </c>
      <c r="P3" s="3" t="inlineStr">
        <is>
          <t>해당없음</t>
        </is>
      </c>
      <c r="Q3" s="3" t="inlineStr">
        <is>
          <t>FALSE</t>
        </is>
      </c>
      <c r="R3" s="3" t="inlineStr">
        <is>
          <t>한전 전기요금은 Scope 2</t>
        </is>
      </c>
      <c r="S3" s="3" t="inlineStr">
        <is>
          <t>명확 케이스</t>
        </is>
      </c>
    </row>
    <row r="4" ht="12" customHeight="1">
      <c r="A4" s="3" t="inlineStr">
        <is>
          <t>I003</t>
        </is>
      </c>
      <c r="B4" s="3" t="inlineStr">
        <is>
          <t>C001</t>
        </is>
      </c>
      <c r="C4" s="19" t="inlineStr">
        <is>
          <t>2026-03-25</t>
        </is>
      </c>
      <c r="D4" s="3" t="inlineStr">
        <is>
          <t>대구문구</t>
        </is>
      </c>
      <c r="E4" s="3" t="inlineStr">
        <is>
          <t>사무용품 구입</t>
        </is>
      </c>
      <c r="F4" s="6" t="n">
        <v>150000</v>
      </c>
      <c r="G4" s="6" t="n">
        <v>15000</v>
      </c>
      <c r="H4" s="6" t="n">
        <v>165000</v>
      </c>
      <c r="I4" s="20" t="n"/>
      <c r="J4" s="3" t="n"/>
      <c r="K4" s="3" t="inlineStr">
        <is>
          <t>제외</t>
        </is>
      </c>
      <c r="L4" s="3" t="inlineStr">
        <is>
          <t>일반비용</t>
        </is>
      </c>
      <c r="M4" s="3" t="inlineStr">
        <is>
          <t>없음</t>
        </is>
      </c>
      <c r="N4" s="3" t="inlineStr">
        <is>
          <t>E</t>
        </is>
      </c>
      <c r="O4" s="3" t="b">
        <v>0</v>
      </c>
      <c r="P4" s="3" t="inlineStr">
        <is>
          <t>제외</t>
        </is>
      </c>
      <c r="Q4" s="3" t="inlineStr">
        <is>
          <t>FALSE</t>
        </is>
      </c>
      <c r="R4" s="3" t="inlineStr">
        <is>
          <t>탄소 산정 대상 아님</t>
        </is>
      </c>
      <c r="S4" s="3" t="inlineStr">
        <is>
          <t>제외 케이스</t>
        </is>
      </c>
    </row>
    <row r="5" ht="12" customHeight="1">
      <c r="A5" s="3" t="inlineStr">
        <is>
          <t>I004</t>
        </is>
      </c>
      <c r="B5" s="3" t="inlineStr">
        <is>
          <t>C001</t>
        </is>
      </c>
      <c r="C5" s="19" t="inlineStr">
        <is>
          <t>2026-04-02</t>
        </is>
      </c>
      <c r="D5" s="3" t="inlineStr">
        <is>
          <t>구미가스</t>
        </is>
      </c>
      <c r="E5" s="3" t="inlineStr">
        <is>
          <t>공장 용접용 가스비</t>
        </is>
      </c>
      <c r="F5" s="6" t="n">
        <v>320000</v>
      </c>
      <c r="G5" s="6" t="n">
        <v>32000</v>
      </c>
      <c r="H5" s="6" t="n">
        <v>352000</v>
      </c>
      <c r="I5" s="20" t="n"/>
      <c r="J5" s="3" t="n"/>
      <c r="K5" s="3" t="inlineStr">
        <is>
          <t>Scope 1</t>
        </is>
      </c>
      <c r="L5" s="3" t="inlineStr">
        <is>
          <t>고정연소</t>
        </is>
      </c>
      <c r="M5" s="3" t="inlineStr">
        <is>
          <t>가스종류 불명</t>
        </is>
      </c>
      <c r="N5" s="3" t="inlineStr">
        <is>
          <t>C</t>
        </is>
      </c>
      <c r="O5" s="3" t="b">
        <v>0</v>
      </c>
      <c r="P5" s="3" t="inlineStr">
        <is>
          <t>HITL</t>
        </is>
      </c>
      <c r="Q5" s="3" t="inlineStr">
        <is>
          <t>TRUE</t>
        </is>
      </c>
      <c r="R5" s="3" t="inlineStr">
        <is>
          <t>가스 종류가 불명확해 사람검토 필요</t>
        </is>
      </c>
      <c r="S5" s="3" t="inlineStr">
        <is>
          <t>애매 케이스</t>
        </is>
      </c>
    </row>
    <row r="6" ht="12" customHeight="1">
      <c r="A6" s="3" t="inlineStr">
        <is>
          <t>I005</t>
        </is>
      </c>
      <c r="B6" s="3" t="inlineStr">
        <is>
          <t>C001</t>
        </is>
      </c>
      <c r="C6" s="19" t="inlineStr">
        <is>
          <t>2026-04-05</t>
        </is>
      </c>
      <c r="D6" s="3" t="inlineStr">
        <is>
          <t>대경오일</t>
        </is>
      </c>
      <c r="E6" s="3" t="inlineStr">
        <is>
          <t>납품차량 경유 주유</t>
        </is>
      </c>
      <c r="F6" s="6" t="n">
        <v>410000</v>
      </c>
      <c r="G6" s="6" t="n">
        <v>41000</v>
      </c>
      <c r="H6" s="6" t="n">
        <v>451000</v>
      </c>
      <c r="I6" s="20" t="n">
        <v>310</v>
      </c>
      <c r="J6" s="3" t="inlineStr">
        <is>
          <t>L</t>
        </is>
      </c>
      <c r="K6" s="3" t="inlineStr">
        <is>
          <t>Scope 1</t>
        </is>
      </c>
      <c r="L6" s="3" t="inlineStr">
        <is>
          <t>이동연소</t>
        </is>
      </c>
      <c r="M6" s="3" t="inlineStr">
        <is>
          <t>경유</t>
        </is>
      </c>
      <c r="N6" s="3" t="inlineStr">
        <is>
          <t>A</t>
        </is>
      </c>
      <c r="O6" s="3" t="b">
        <v>0</v>
      </c>
      <c r="P6" s="3" t="inlineStr">
        <is>
          <t>해당없음</t>
        </is>
      </c>
      <c r="Q6" s="3" t="inlineStr">
        <is>
          <t>FALSE</t>
        </is>
      </c>
      <c r="R6" s="3" t="inlineStr">
        <is>
          <t>납품차량+경유 명시</t>
        </is>
      </c>
      <c r="S6" s="3" t="inlineStr">
        <is>
          <t>명확 케이스</t>
        </is>
      </c>
    </row>
    <row r="7" ht="12" customHeight="1">
      <c r="A7" s="3" t="inlineStr">
        <is>
          <t>I006</t>
        </is>
      </c>
      <c r="B7" s="3" t="inlineStr">
        <is>
          <t>C001</t>
        </is>
      </c>
      <c r="C7" s="19" t="inlineStr">
        <is>
          <t>2026-04-10</t>
        </is>
      </c>
      <c r="D7" s="3" t="inlineStr">
        <is>
          <t>한국전력</t>
        </is>
      </c>
      <c r="E7" s="3" t="inlineStr">
        <is>
          <t>4월 전력 사용료</t>
        </is>
      </c>
      <c r="F7" s="6" t="n">
        <v>1380000</v>
      </c>
      <c r="G7" s="6" t="n">
        <v>138000</v>
      </c>
      <c r="H7" s="6" t="n">
        <v>1518000</v>
      </c>
      <c r="I7" s="20" t="n">
        <v>4100</v>
      </c>
      <c r="J7" s="3" t="inlineStr">
        <is>
          <t>kWh</t>
        </is>
      </c>
      <c r="K7" s="3" t="inlineStr">
        <is>
          <t>Scope 2</t>
        </is>
      </c>
      <c r="L7" s="3" t="inlineStr">
        <is>
          <t>전력사용</t>
        </is>
      </c>
      <c r="M7" s="3" t="inlineStr">
        <is>
          <t>전기</t>
        </is>
      </c>
      <c r="N7" s="3" t="inlineStr">
        <is>
          <t>A</t>
        </is>
      </c>
      <c r="O7" s="3" t="b">
        <v>0</v>
      </c>
      <c r="P7" s="3" t="inlineStr">
        <is>
          <t>해당없음</t>
        </is>
      </c>
      <c r="Q7" s="3" t="inlineStr">
        <is>
          <t>FALSE</t>
        </is>
      </c>
      <c r="R7" s="3" t="inlineStr">
        <is>
          <t>전력 사용료는 Scope 2</t>
        </is>
      </c>
      <c r="S7" s="3" t="inlineStr">
        <is>
          <t>명확 케이스</t>
        </is>
      </c>
    </row>
    <row r="8" ht="12" customHeight="1">
      <c r="A8" s="3" t="inlineStr">
        <is>
          <t>I007</t>
        </is>
      </c>
      <c r="B8" s="3" t="inlineStr">
        <is>
          <t>C001</t>
        </is>
      </c>
      <c r="C8" s="19" t="inlineStr">
        <is>
          <t>2026-04-13</t>
        </is>
      </c>
      <c r="D8" s="3" t="inlineStr">
        <is>
          <t>구미도시가스</t>
        </is>
      </c>
      <c r="E8" s="3" t="inlineStr">
        <is>
          <t>도시가스 요금</t>
        </is>
      </c>
      <c r="F8" s="6" t="n">
        <v>220000</v>
      </c>
      <c r="G8" s="6" t="n">
        <v>22000</v>
      </c>
      <c r="H8" s="6" t="n">
        <v>242000</v>
      </c>
      <c r="I8" s="20" t="n">
        <v>180</v>
      </c>
      <c r="J8" s="3" t="inlineStr">
        <is>
          <t>m3</t>
        </is>
      </c>
      <c r="K8" s="3" t="inlineStr">
        <is>
          <t>Scope 1</t>
        </is>
      </c>
      <c r="L8" s="3" t="inlineStr">
        <is>
          <t>고정연소</t>
        </is>
      </c>
      <c r="M8" s="3" t="inlineStr">
        <is>
          <t>도시가스</t>
        </is>
      </c>
      <c r="N8" s="3" t="inlineStr">
        <is>
          <t>A</t>
        </is>
      </c>
      <c r="O8" s="3" t="b">
        <v>0</v>
      </c>
      <c r="P8" s="3" t="inlineStr">
        <is>
          <t>해당없음</t>
        </is>
      </c>
      <c r="Q8" s="3" t="inlineStr">
        <is>
          <t>FALSE</t>
        </is>
      </c>
      <c r="R8" s="3" t="inlineStr">
        <is>
          <t>도시가스 사용량 존재</t>
        </is>
      </c>
      <c r="S8" s="3" t="inlineStr">
        <is>
          <t>명확 케이스</t>
        </is>
      </c>
    </row>
    <row r="9" ht="12" customHeight="1">
      <c r="A9" s="3" t="inlineStr">
        <is>
          <t>I008</t>
        </is>
      </c>
      <c r="B9" s="3" t="inlineStr">
        <is>
          <t>C001</t>
        </is>
      </c>
      <c r="C9" s="19" t="inlineStr">
        <is>
          <t>2026-04-18</t>
        </is>
      </c>
      <c r="D9" s="3" t="inlineStr">
        <is>
          <t>성서산업상사</t>
        </is>
      </c>
      <c r="E9" s="3" t="inlineStr">
        <is>
          <t>공장 소모품 외 2종</t>
        </is>
      </c>
      <c r="F9" s="6" t="n">
        <v>275000</v>
      </c>
      <c r="G9" s="6" t="n">
        <v>27500</v>
      </c>
      <c r="H9" s="6" t="n">
        <v>302500</v>
      </c>
      <c r="I9" s="20" t="n"/>
      <c r="J9" s="3" t="n"/>
      <c r="K9" s="3" t="inlineStr">
        <is>
          <t>제외</t>
        </is>
      </c>
      <c r="L9" s="3" t="inlineStr">
        <is>
          <t>일반비용</t>
        </is>
      </c>
      <c r="M9" s="3" t="inlineStr">
        <is>
          <t>없음</t>
        </is>
      </c>
      <c r="N9" s="3" t="inlineStr">
        <is>
          <t>E</t>
        </is>
      </c>
      <c r="O9" s="3" t="b">
        <v>1</v>
      </c>
      <c r="P9" s="3" t="inlineStr">
        <is>
          <t>HITL</t>
        </is>
      </c>
      <c r="Q9" s="3" t="inlineStr">
        <is>
          <t>TRUE</t>
        </is>
      </c>
      <c r="R9" s="3" t="inlineStr">
        <is>
          <t>품목이 모호하고 탄소 항목 여부 불확실</t>
        </is>
      </c>
      <c r="S9" s="3" t="inlineStr">
        <is>
          <t>애매/제외</t>
        </is>
      </c>
    </row>
    <row r="10" ht="12" customHeight="1">
      <c r="A10" s="3" t="inlineStr">
        <is>
          <t>I009</t>
        </is>
      </c>
      <c r="B10" s="3" t="inlineStr">
        <is>
          <t>C002</t>
        </is>
      </c>
      <c r="C10" s="19" t="inlineStr">
        <is>
          <t>2026-03-11</t>
        </is>
      </c>
      <c r="D10" s="3" t="inlineStr">
        <is>
          <t>경북LPG</t>
        </is>
      </c>
      <c r="E10" s="3" t="inlineStr">
        <is>
          <t>LPG 연료비</t>
        </is>
      </c>
      <c r="F10" s="6" t="n">
        <v>180000</v>
      </c>
      <c r="G10" s="6" t="n">
        <v>18000</v>
      </c>
      <c r="H10" s="6" t="n">
        <v>198000</v>
      </c>
      <c r="I10" s="20" t="n">
        <v>95</v>
      </c>
      <c r="J10" s="3" t="inlineStr">
        <is>
          <t>kg</t>
        </is>
      </c>
      <c r="K10" s="3" t="inlineStr">
        <is>
          <t>Scope 1</t>
        </is>
      </c>
      <c r="L10" s="3" t="inlineStr">
        <is>
          <t>고정연소</t>
        </is>
      </c>
      <c r="M10" s="3" t="inlineStr">
        <is>
          <t>LPG</t>
        </is>
      </c>
      <c r="N10" s="3" t="inlineStr">
        <is>
          <t>A</t>
        </is>
      </c>
      <c r="O10" s="3" t="b">
        <v>0</v>
      </c>
      <c r="P10" s="3" t="inlineStr">
        <is>
          <t>해당없음</t>
        </is>
      </c>
      <c r="Q10" s="3" t="inlineStr">
        <is>
          <t>FALSE</t>
        </is>
      </c>
      <c r="R10" s="3" t="inlineStr">
        <is>
          <t>LPG 연료 명시</t>
        </is>
      </c>
      <c r="S10" s="3" t="inlineStr">
        <is>
          <t>명확 케이스</t>
        </is>
      </c>
    </row>
    <row r="11" ht="12" customHeight="1">
      <c r="A11" s="3" t="inlineStr">
        <is>
          <t>I010</t>
        </is>
      </c>
      <c r="B11" s="3" t="inlineStr">
        <is>
          <t>C002</t>
        </is>
      </c>
      <c r="C11" s="19" t="inlineStr">
        <is>
          <t>2026-03-15</t>
        </is>
      </c>
      <c r="D11" s="3" t="inlineStr">
        <is>
          <t>한국전력</t>
        </is>
      </c>
      <c r="E11" s="3" t="inlineStr">
        <is>
          <t>전기료</t>
        </is>
      </c>
      <c r="F11" s="6" t="n">
        <v>980000</v>
      </c>
      <c r="G11" s="6" t="n">
        <v>98000</v>
      </c>
      <c r="H11" s="6" t="n">
        <v>1078000</v>
      </c>
      <c r="I11" s="20" t="n">
        <v>2800</v>
      </c>
      <c r="J11" s="3" t="inlineStr">
        <is>
          <t>kWh</t>
        </is>
      </c>
      <c r="K11" s="3" t="inlineStr">
        <is>
          <t>Scope 2</t>
        </is>
      </c>
      <c r="L11" s="3" t="inlineStr">
        <is>
          <t>전력사용</t>
        </is>
      </c>
      <c r="M11" s="3" t="inlineStr">
        <is>
          <t>전기</t>
        </is>
      </c>
      <c r="N11" s="3" t="inlineStr">
        <is>
          <t>A</t>
        </is>
      </c>
      <c r="O11" s="3" t="b">
        <v>0</v>
      </c>
      <c r="P11" s="3" t="inlineStr">
        <is>
          <t>해당없음</t>
        </is>
      </c>
      <c r="Q11" s="3" t="inlineStr">
        <is>
          <t>FALSE</t>
        </is>
      </c>
      <c r="R11" s="3" t="inlineStr">
        <is>
          <t>전기료 키워드</t>
        </is>
      </c>
      <c r="S11" s="3" t="inlineStr">
        <is>
          <t>명확 케이스</t>
        </is>
      </c>
    </row>
    <row r="12" ht="12" customHeight="1">
      <c r="A12" s="3" t="inlineStr">
        <is>
          <t>I011</t>
        </is>
      </c>
      <c r="B12" s="3" t="inlineStr">
        <is>
          <t>C002</t>
        </is>
      </c>
      <c r="C12" s="19" t="inlineStr">
        <is>
          <t>2026-03-23</t>
        </is>
      </c>
      <c r="D12" s="3" t="inlineStr">
        <is>
          <t>대경유류</t>
        </is>
      </c>
      <c r="E12" s="3" t="inlineStr">
        <is>
          <t>유류대금</t>
        </is>
      </c>
      <c r="F12" s="6" t="n">
        <v>355000</v>
      </c>
      <c r="G12" s="6" t="n">
        <v>35500</v>
      </c>
      <c r="H12" s="6" t="n">
        <v>390500</v>
      </c>
      <c r="I12" s="20" t="n"/>
      <c r="J12" s="3" t="n"/>
      <c r="K12" s="3" t="inlineStr">
        <is>
          <t>Scope 1</t>
        </is>
      </c>
      <c r="L12" s="3" t="inlineStr">
        <is>
          <t>이동연소</t>
        </is>
      </c>
      <c r="M12" s="3" t="inlineStr">
        <is>
          <t>연료종류 불명</t>
        </is>
      </c>
      <c r="N12" s="3" t="inlineStr">
        <is>
          <t>C</t>
        </is>
      </c>
      <c r="O12" s="3" t="b">
        <v>0</v>
      </c>
      <c r="P12" s="3" t="inlineStr">
        <is>
          <t>HITL</t>
        </is>
      </c>
      <c r="Q12" s="3" t="inlineStr">
        <is>
          <t>TRUE</t>
        </is>
      </c>
      <c r="R12" s="3" t="inlineStr">
        <is>
          <t>경유/휘발유 구분 불가</t>
        </is>
      </c>
      <c r="S12" s="3" t="inlineStr">
        <is>
          <t>애매 케이스</t>
        </is>
      </c>
    </row>
    <row r="13" ht="12" customHeight="1">
      <c r="A13" s="3" t="inlineStr">
        <is>
          <t>I012</t>
        </is>
      </c>
      <c r="B13" s="3" t="inlineStr">
        <is>
          <t>C002</t>
        </is>
      </c>
      <c r="C13" s="19" t="inlineStr">
        <is>
          <t>2026-04-01</t>
        </is>
      </c>
      <c r="D13" s="3" t="inlineStr">
        <is>
          <t>구미에너지</t>
        </is>
      </c>
      <c r="E13" s="3" t="inlineStr">
        <is>
          <t>경유</t>
        </is>
      </c>
      <c r="F13" s="6" t="n">
        <v>785000</v>
      </c>
      <c r="G13" s="6" t="n">
        <v>78500</v>
      </c>
      <c r="H13" s="6" t="n">
        <v>863500</v>
      </c>
      <c r="I13" s="20" t="n">
        <v>600</v>
      </c>
      <c r="J13" s="3" t="inlineStr">
        <is>
          <t>L</t>
        </is>
      </c>
      <c r="K13" s="3" t="inlineStr">
        <is>
          <t>Scope 1</t>
        </is>
      </c>
      <c r="L13" s="3" t="inlineStr">
        <is>
          <t>이동연소</t>
        </is>
      </c>
      <c r="M13" s="3" t="inlineStr">
        <is>
          <t>경유</t>
        </is>
      </c>
      <c r="N13" s="3" t="inlineStr">
        <is>
          <t>A</t>
        </is>
      </c>
      <c r="O13" s="3" t="b">
        <v>0</v>
      </c>
      <c r="P13" s="3" t="inlineStr">
        <is>
          <t>해당없음</t>
        </is>
      </c>
      <c r="Q13" s="3" t="inlineStr">
        <is>
          <t>FALSE</t>
        </is>
      </c>
      <c r="R13" s="3" t="inlineStr">
        <is>
          <t>경유 명시</t>
        </is>
      </c>
      <c r="S13" s="3" t="inlineStr">
        <is>
          <t>명확 케이스</t>
        </is>
      </c>
    </row>
    <row r="14" ht="12" customHeight="1">
      <c r="A14" s="3" t="inlineStr">
        <is>
          <t>I013</t>
        </is>
      </c>
      <c r="B14" s="3" t="inlineStr">
        <is>
          <t>C002</t>
        </is>
      </c>
      <c r="C14" s="19" t="inlineStr">
        <is>
          <t>2026-04-04</t>
        </is>
      </c>
      <c r="D14" s="3" t="inlineStr">
        <is>
          <t>동양가스</t>
        </is>
      </c>
      <c r="E14" s="3" t="inlineStr">
        <is>
          <t>산소/아르곤 가스</t>
        </is>
      </c>
      <c r="F14" s="6" t="n">
        <v>440000</v>
      </c>
      <c r="G14" s="6" t="n">
        <v>44000</v>
      </c>
      <c r="H14" s="6" t="n">
        <v>484000</v>
      </c>
      <c r="I14" s="20" t="n"/>
      <c r="J14" s="3" t="n"/>
      <c r="K14" s="3" t="inlineStr">
        <is>
          <t>검토</t>
        </is>
      </c>
      <c r="L14" s="3" t="inlineStr">
        <is>
          <t>산업가스</t>
        </is>
      </c>
      <c r="M14" s="3" t="inlineStr">
        <is>
          <t>산업가스</t>
        </is>
      </c>
      <c r="N14" s="3" t="inlineStr">
        <is>
          <t>C</t>
        </is>
      </c>
      <c r="O14" s="3" t="b">
        <v>1</v>
      </c>
      <c r="P14" s="3" t="inlineStr">
        <is>
          <t>HITL</t>
        </is>
      </c>
      <c r="Q14" s="3" t="inlineStr">
        <is>
          <t>TRUE</t>
        </is>
      </c>
      <c r="R14" s="3" t="inlineStr">
        <is>
          <t>공정용 가스이나 배출계수 적용 여부 검토 필요</t>
        </is>
      </c>
      <c r="S14" s="3" t="inlineStr">
        <is>
          <t>HITL</t>
        </is>
      </c>
    </row>
    <row r="15" ht="12" customHeight="1">
      <c r="A15" s="3" t="inlineStr">
        <is>
          <t>I014</t>
        </is>
      </c>
      <c r="B15" s="3" t="inlineStr">
        <is>
          <t>C002</t>
        </is>
      </c>
      <c r="C15" s="19" t="inlineStr">
        <is>
          <t>2026-04-09</t>
        </is>
      </c>
      <c r="D15" s="3" t="inlineStr">
        <is>
          <t>대구문구</t>
        </is>
      </c>
      <c r="E15" s="3" t="inlineStr">
        <is>
          <t>복사용지 및 토너</t>
        </is>
      </c>
      <c r="F15" s="6" t="n">
        <v>210000</v>
      </c>
      <c r="G15" s="6" t="n">
        <v>21000</v>
      </c>
      <c r="H15" s="6" t="n">
        <v>231000</v>
      </c>
      <c r="I15" s="20" t="n"/>
      <c r="J15" s="3" t="n"/>
      <c r="K15" s="3" t="inlineStr">
        <is>
          <t>제외</t>
        </is>
      </c>
      <c r="L15" s="3" t="inlineStr">
        <is>
          <t>일반비용</t>
        </is>
      </c>
      <c r="M15" s="3" t="inlineStr">
        <is>
          <t>없음</t>
        </is>
      </c>
      <c r="N15" s="3" t="inlineStr">
        <is>
          <t>E</t>
        </is>
      </c>
      <c r="O15" s="3" t="b">
        <v>0</v>
      </c>
      <c r="P15" s="3" t="inlineStr">
        <is>
          <t>제외</t>
        </is>
      </c>
      <c r="Q15" s="3" t="inlineStr">
        <is>
          <t>FALSE</t>
        </is>
      </c>
      <c r="R15" s="3" t="inlineStr">
        <is>
          <t>일반 사무비용</t>
        </is>
      </c>
      <c r="S15" s="3" t="inlineStr">
        <is>
          <t>제외 케이스</t>
        </is>
      </c>
    </row>
    <row r="16" ht="12" customHeight="1">
      <c r="A16" s="3" t="inlineStr">
        <is>
          <t>I015</t>
        </is>
      </c>
      <c r="B16" s="3" t="inlineStr">
        <is>
          <t>C002</t>
        </is>
      </c>
      <c r="C16" s="19" t="inlineStr">
        <is>
          <t>2026-04-19</t>
        </is>
      </c>
      <c r="D16" s="3" t="inlineStr">
        <is>
          <t>한국전력</t>
        </is>
      </c>
      <c r="E16" s="3" t="inlineStr">
        <is>
          <t>공장 전기료</t>
        </is>
      </c>
      <c r="F16" s="6" t="n">
        <v>1120000</v>
      </c>
      <c r="G16" s="6" t="n">
        <v>112000</v>
      </c>
      <c r="H16" s="6" t="n">
        <v>1232000</v>
      </c>
      <c r="I16" s="20" t="n">
        <v>3300</v>
      </c>
      <c r="J16" s="3" t="inlineStr">
        <is>
          <t>kWh</t>
        </is>
      </c>
      <c r="K16" s="3" t="inlineStr">
        <is>
          <t>Scope 2</t>
        </is>
      </c>
      <c r="L16" s="3" t="inlineStr">
        <is>
          <t>전력사용</t>
        </is>
      </c>
      <c r="M16" s="3" t="inlineStr">
        <is>
          <t>전기</t>
        </is>
      </c>
      <c r="N16" s="3" t="inlineStr">
        <is>
          <t>A</t>
        </is>
      </c>
      <c r="O16" s="3" t="b">
        <v>0</v>
      </c>
      <c r="P16" s="3" t="inlineStr">
        <is>
          <t>해당없음</t>
        </is>
      </c>
      <c r="Q16" s="3" t="inlineStr">
        <is>
          <t>FALSE</t>
        </is>
      </c>
      <c r="R16" s="3" t="inlineStr">
        <is>
          <t>전기료는 Scope 2</t>
        </is>
      </c>
      <c r="S16" s="3" t="inlineStr">
        <is>
          <t>명확 케이스</t>
        </is>
      </c>
    </row>
    <row r="17" ht="12" customHeight="1">
      <c r="A17" s="3" t="inlineStr">
        <is>
          <t>I016</t>
        </is>
      </c>
      <c r="B17" s="3" t="inlineStr">
        <is>
          <t>C003</t>
        </is>
      </c>
      <c r="C17" s="19" t="inlineStr">
        <is>
          <t>2026-03-03</t>
        </is>
      </c>
      <c r="D17" s="3" t="inlineStr">
        <is>
          <t>구미도시가스</t>
        </is>
      </c>
      <c r="E17" s="3" t="inlineStr">
        <is>
          <t>보일러 도시가스</t>
        </is>
      </c>
      <c r="F17" s="6" t="n">
        <v>360000</v>
      </c>
      <c r="G17" s="6" t="n">
        <v>36000</v>
      </c>
      <c r="H17" s="6" t="n">
        <v>396000</v>
      </c>
      <c r="I17" s="20" t="n">
        <v>295</v>
      </c>
      <c r="J17" s="3" t="inlineStr">
        <is>
          <t>m3</t>
        </is>
      </c>
      <c r="K17" s="3" t="inlineStr">
        <is>
          <t>Scope 1</t>
        </is>
      </c>
      <c r="L17" s="3" t="inlineStr">
        <is>
          <t>고정연소</t>
        </is>
      </c>
      <c r="M17" s="3" t="inlineStr">
        <is>
          <t>도시가스</t>
        </is>
      </c>
      <c r="N17" s="3" t="inlineStr">
        <is>
          <t>A</t>
        </is>
      </c>
      <c r="O17" s="3" t="b">
        <v>0</v>
      </c>
      <c r="P17" s="3" t="inlineStr">
        <is>
          <t>해당없음</t>
        </is>
      </c>
      <c r="Q17" s="3" t="inlineStr">
        <is>
          <t>FALSE</t>
        </is>
      </c>
      <c r="R17" s="3" t="inlineStr">
        <is>
          <t>보일러+도시가스 명시</t>
        </is>
      </c>
      <c r="S17" s="3" t="inlineStr">
        <is>
          <t>명확 케이스</t>
        </is>
      </c>
    </row>
    <row r="18" ht="12" customHeight="1">
      <c r="A18" s="3" t="inlineStr">
        <is>
          <t>I017</t>
        </is>
      </c>
      <c r="B18" s="3" t="inlineStr">
        <is>
          <t>C003</t>
        </is>
      </c>
      <c r="C18" s="19" t="inlineStr">
        <is>
          <t>2026-03-07</t>
        </is>
      </c>
      <c r="D18" s="3" t="inlineStr">
        <is>
          <t>한국전력</t>
        </is>
      </c>
      <c r="E18" s="3" t="inlineStr">
        <is>
          <t>전력 사용료</t>
        </is>
      </c>
      <c r="F18" s="6" t="n">
        <v>1540000</v>
      </c>
      <c r="G18" s="6" t="n">
        <v>154000</v>
      </c>
      <c r="H18" s="6" t="n">
        <v>1694000</v>
      </c>
      <c r="I18" s="20" t="n">
        <v>4600</v>
      </c>
      <c r="J18" s="3" t="inlineStr">
        <is>
          <t>kWh</t>
        </is>
      </c>
      <c r="K18" s="3" t="inlineStr">
        <is>
          <t>Scope 2</t>
        </is>
      </c>
      <c r="L18" s="3" t="inlineStr">
        <is>
          <t>전력사용</t>
        </is>
      </c>
      <c r="M18" s="3" t="inlineStr">
        <is>
          <t>전기</t>
        </is>
      </c>
      <c r="N18" s="3" t="inlineStr">
        <is>
          <t>A</t>
        </is>
      </c>
      <c r="O18" s="3" t="b">
        <v>0</v>
      </c>
      <c r="P18" s="3" t="inlineStr">
        <is>
          <t>해당없음</t>
        </is>
      </c>
      <c r="Q18" s="3" t="inlineStr">
        <is>
          <t>FALSE</t>
        </is>
      </c>
      <c r="R18" s="3" t="inlineStr">
        <is>
          <t>전력 사용료</t>
        </is>
      </c>
      <c r="S18" s="3" t="inlineStr">
        <is>
          <t>명확 케이스</t>
        </is>
      </c>
    </row>
    <row r="19" ht="12" customHeight="1">
      <c r="A19" s="3" t="inlineStr">
        <is>
          <t>I018</t>
        </is>
      </c>
      <c r="B19" s="3" t="inlineStr">
        <is>
          <t>C003</t>
        </is>
      </c>
      <c r="C19" s="19" t="inlineStr">
        <is>
          <t>2026-03-16</t>
        </is>
      </c>
      <c r="D19" s="3" t="inlineStr">
        <is>
          <t>포항오일</t>
        </is>
      </c>
      <c r="E19" s="3" t="inlineStr">
        <is>
          <t>지게차 경유</t>
        </is>
      </c>
      <c r="F19" s="6" t="n">
        <v>520000</v>
      </c>
      <c r="G19" s="6" t="n">
        <v>52000</v>
      </c>
      <c r="H19" s="6" t="n">
        <v>572000</v>
      </c>
      <c r="I19" s="20" t="n">
        <v>400</v>
      </c>
      <c r="J19" s="3" t="inlineStr">
        <is>
          <t>L</t>
        </is>
      </c>
      <c r="K19" s="3" t="inlineStr">
        <is>
          <t>Scope 1</t>
        </is>
      </c>
      <c r="L19" s="3" t="inlineStr">
        <is>
          <t>이동연소</t>
        </is>
      </c>
      <c r="M19" s="3" t="inlineStr">
        <is>
          <t>경유</t>
        </is>
      </c>
      <c r="N19" s="3" t="inlineStr">
        <is>
          <t>A</t>
        </is>
      </c>
      <c r="O19" s="3" t="b">
        <v>0</v>
      </c>
      <c r="P19" s="3" t="inlineStr">
        <is>
          <t>해당없음</t>
        </is>
      </c>
      <c r="Q19" s="3" t="inlineStr">
        <is>
          <t>FALSE</t>
        </is>
      </c>
      <c r="R19" s="3" t="inlineStr">
        <is>
          <t>지게차 경유 명시</t>
        </is>
      </c>
      <c r="S19" s="3" t="inlineStr">
        <is>
          <t>명확 케이스</t>
        </is>
      </c>
    </row>
    <row r="20" ht="12" customHeight="1">
      <c r="A20" s="3" t="inlineStr">
        <is>
          <t>I019</t>
        </is>
      </c>
      <c r="B20" s="3" t="inlineStr">
        <is>
          <t>C003</t>
        </is>
      </c>
      <c r="C20" s="19" t="inlineStr">
        <is>
          <t>2026-03-24</t>
        </is>
      </c>
      <c r="D20" s="3" t="inlineStr">
        <is>
          <t>구내식당</t>
        </is>
      </c>
      <c r="E20" s="3" t="inlineStr">
        <is>
          <t>야근 식대</t>
        </is>
      </c>
      <c r="F20" s="6" t="n">
        <v>180000</v>
      </c>
      <c r="G20" s="6" t="n">
        <v>18000</v>
      </c>
      <c r="H20" s="6" t="n">
        <v>198000</v>
      </c>
      <c r="I20" s="20" t="n"/>
      <c r="J20" s="3" t="n"/>
      <c r="K20" s="3" t="inlineStr">
        <is>
          <t>제외</t>
        </is>
      </c>
      <c r="L20" s="3" t="inlineStr">
        <is>
          <t>일반비용</t>
        </is>
      </c>
      <c r="M20" s="3" t="inlineStr">
        <is>
          <t>없음</t>
        </is>
      </c>
      <c r="N20" s="3" t="inlineStr">
        <is>
          <t>E</t>
        </is>
      </c>
      <c r="O20" s="3" t="b">
        <v>0</v>
      </c>
      <c r="P20" s="3" t="inlineStr">
        <is>
          <t>제외</t>
        </is>
      </c>
      <c r="Q20" s="3" t="inlineStr">
        <is>
          <t>FALSE</t>
        </is>
      </c>
      <c r="R20" s="3" t="inlineStr">
        <is>
          <t>식대는 MVP 제외</t>
        </is>
      </c>
      <c r="S20" s="3" t="inlineStr">
        <is>
          <t>제외 케이스</t>
        </is>
      </c>
    </row>
    <row r="21" ht="12" customHeight="1">
      <c r="A21" s="3" t="inlineStr">
        <is>
          <t>I020</t>
        </is>
      </c>
      <c r="B21" s="3" t="inlineStr">
        <is>
          <t>C003</t>
        </is>
      </c>
      <c r="C21" s="19" t="inlineStr">
        <is>
          <t>2026-04-02</t>
        </is>
      </c>
      <c r="D21" s="3" t="inlineStr">
        <is>
          <t>경북LPG</t>
        </is>
      </c>
      <c r="E21" s="3" t="inlineStr">
        <is>
          <t>공장 난방 LPG</t>
        </is>
      </c>
      <c r="F21" s="6" t="n">
        <v>260000</v>
      </c>
      <c r="G21" s="6" t="n">
        <v>26000</v>
      </c>
      <c r="H21" s="6" t="n">
        <v>286000</v>
      </c>
      <c r="I21" s="20" t="n">
        <v>135</v>
      </c>
      <c r="J21" s="3" t="inlineStr">
        <is>
          <t>kg</t>
        </is>
      </c>
      <c r="K21" s="3" t="inlineStr">
        <is>
          <t>Scope 1</t>
        </is>
      </c>
      <c r="L21" s="3" t="inlineStr">
        <is>
          <t>고정연소</t>
        </is>
      </c>
      <c r="M21" s="3" t="inlineStr">
        <is>
          <t>LPG</t>
        </is>
      </c>
      <c r="N21" s="3" t="inlineStr">
        <is>
          <t>A</t>
        </is>
      </c>
      <c r="O21" s="3" t="b">
        <v>0</v>
      </c>
      <c r="P21" s="3" t="inlineStr">
        <is>
          <t>해당없음</t>
        </is>
      </c>
      <c r="Q21" s="3" t="inlineStr">
        <is>
          <t>FALSE</t>
        </is>
      </c>
      <c r="R21" s="3" t="inlineStr">
        <is>
          <t>LPG 연료 명시</t>
        </is>
      </c>
      <c r="S21" s="3" t="inlineStr">
        <is>
          <t>명확 케이스</t>
        </is>
      </c>
    </row>
    <row r="22" ht="12" customHeight="1">
      <c r="A22" s="3" t="inlineStr">
        <is>
          <t>I021</t>
        </is>
      </c>
      <c r="B22" s="3" t="inlineStr">
        <is>
          <t>C003</t>
        </is>
      </c>
      <c r="C22" s="19" t="inlineStr">
        <is>
          <t>2026-04-14</t>
        </is>
      </c>
      <c r="D22" s="3" t="inlineStr">
        <is>
          <t>대경정비</t>
        </is>
      </c>
      <c r="E22" s="3" t="inlineStr">
        <is>
          <t>지게차 정비비</t>
        </is>
      </c>
      <c r="F22" s="6" t="n">
        <v>300000</v>
      </c>
      <c r="G22" s="6" t="n">
        <v>30000</v>
      </c>
      <c r="H22" s="6" t="n">
        <v>330000</v>
      </c>
      <c r="I22" s="20" t="n"/>
      <c r="J22" s="3" t="n"/>
      <c r="K22" s="3" t="inlineStr">
        <is>
          <t>제외</t>
        </is>
      </c>
      <c r="L22" s="3" t="inlineStr">
        <is>
          <t>일반비용</t>
        </is>
      </c>
      <c r="M22" s="3" t="inlineStr">
        <is>
          <t>없음</t>
        </is>
      </c>
      <c r="N22" s="3" t="inlineStr">
        <is>
          <t>E</t>
        </is>
      </c>
      <c r="O22" s="3" t="b">
        <v>0</v>
      </c>
      <c r="P22" s="3" t="inlineStr">
        <is>
          <t>제외</t>
        </is>
      </c>
      <c r="Q22" s="3" t="inlineStr">
        <is>
          <t>FALSE</t>
        </is>
      </c>
      <c r="R22" s="3" t="inlineStr">
        <is>
          <t>정비비는 연료 사용량 아님</t>
        </is>
      </c>
      <c r="S22" s="3" t="inlineStr">
        <is>
          <t>제외 케이스</t>
        </is>
      </c>
    </row>
    <row r="23" ht="12" customHeight="1">
      <c r="A23" s="3" t="inlineStr">
        <is>
          <t>I022</t>
        </is>
      </c>
      <c r="B23" s="3" t="inlineStr">
        <is>
          <t>C003</t>
        </is>
      </c>
      <c r="C23" s="19" t="inlineStr">
        <is>
          <t>2026-04-26</t>
        </is>
      </c>
      <c r="D23" s="3" t="inlineStr">
        <is>
          <t>한국전력</t>
        </is>
      </c>
      <c r="E23" s="3" t="inlineStr">
        <is>
          <t>전기요금</t>
        </is>
      </c>
      <c r="F23" s="6" t="n">
        <v>1650000</v>
      </c>
      <c r="G23" s="6" t="n">
        <v>165000</v>
      </c>
      <c r="H23" s="6" t="n">
        <v>1815000</v>
      </c>
      <c r="I23" s="20" t="n">
        <v>5000</v>
      </c>
      <c r="J23" s="3" t="inlineStr">
        <is>
          <t>kWh</t>
        </is>
      </c>
      <c r="K23" s="3" t="inlineStr">
        <is>
          <t>Scope 2</t>
        </is>
      </c>
      <c r="L23" s="3" t="inlineStr">
        <is>
          <t>전력사용</t>
        </is>
      </c>
      <c r="M23" s="3" t="inlineStr">
        <is>
          <t>전기</t>
        </is>
      </c>
      <c r="N23" s="3" t="inlineStr">
        <is>
          <t>A</t>
        </is>
      </c>
      <c r="O23" s="3" t="b">
        <v>0</v>
      </c>
      <c r="P23" s="3" t="inlineStr">
        <is>
          <t>해당없음</t>
        </is>
      </c>
      <c r="Q23" s="3" t="inlineStr">
        <is>
          <t>FALSE</t>
        </is>
      </c>
      <c r="R23" s="3" t="inlineStr">
        <is>
          <t>전기요금 키워드</t>
        </is>
      </c>
      <c r="S23" s="3" t="inlineStr">
        <is>
          <t>명확 케이스</t>
        </is>
      </c>
    </row>
    <row r="24" ht="12" customHeight="1">
      <c r="A24" s="3" t="inlineStr">
        <is>
          <t>I023</t>
        </is>
      </c>
      <c r="B24" s="3" t="inlineStr">
        <is>
          <t>C004</t>
        </is>
      </c>
      <c r="C24" s="19" t="inlineStr">
        <is>
          <t>2026-03-05</t>
        </is>
      </c>
      <c r="D24" s="3" t="inlineStr">
        <is>
          <t>구미에너지</t>
        </is>
      </c>
      <c r="E24" s="3" t="inlineStr">
        <is>
          <t>경유 외 1종</t>
        </is>
      </c>
      <c r="F24" s="6" t="n">
        <v>432000</v>
      </c>
      <c r="G24" s="6" t="n">
        <v>43200</v>
      </c>
      <c r="H24" s="6" t="n">
        <v>475200</v>
      </c>
      <c r="I24" s="20" t="n">
        <v>330</v>
      </c>
      <c r="J24" s="3" t="inlineStr">
        <is>
          <t>L</t>
        </is>
      </c>
      <c r="K24" s="3" t="inlineStr">
        <is>
          <t>Scope 1</t>
        </is>
      </c>
      <c r="L24" s="3" t="inlineStr">
        <is>
          <t>이동연소</t>
        </is>
      </c>
      <c r="M24" s="3" t="inlineStr">
        <is>
          <t>경유</t>
        </is>
      </c>
      <c r="N24" s="3" t="inlineStr">
        <is>
          <t>A</t>
        </is>
      </c>
      <c r="O24" s="3" t="b">
        <v>1</v>
      </c>
      <c r="P24" s="3" t="inlineStr">
        <is>
          <t>주품목 100%</t>
        </is>
      </c>
      <c r="Q24" s="3" t="inlineStr">
        <is>
          <t>FALSE</t>
        </is>
      </c>
      <c r="R24" s="3" t="inlineStr">
        <is>
          <t>경유가 주품목으로 명확</t>
        </is>
      </c>
      <c r="S24" s="3" t="inlineStr">
        <is>
          <t>혼합 명확</t>
        </is>
      </c>
    </row>
    <row r="25" ht="12" customHeight="1">
      <c r="A25" s="3" t="inlineStr">
        <is>
          <t>I024</t>
        </is>
      </c>
      <c r="B25" s="3" t="inlineStr">
        <is>
          <t>C004</t>
        </is>
      </c>
      <c r="C25" s="19" t="inlineStr">
        <is>
          <t>2026-03-08</t>
        </is>
      </c>
      <c r="D25" s="3" t="inlineStr">
        <is>
          <t>한국전력</t>
        </is>
      </c>
      <c r="E25" s="3" t="inlineStr">
        <is>
          <t>3월 전기요금</t>
        </is>
      </c>
      <c r="F25" s="6" t="n">
        <v>760000</v>
      </c>
      <c r="G25" s="6" t="n">
        <v>76000</v>
      </c>
      <c r="H25" s="6" t="n">
        <v>836000</v>
      </c>
      <c r="I25" s="20" t="n">
        <v>2200</v>
      </c>
      <c r="J25" s="3" t="inlineStr">
        <is>
          <t>kWh</t>
        </is>
      </c>
      <c r="K25" s="3" t="inlineStr">
        <is>
          <t>Scope 2</t>
        </is>
      </c>
      <c r="L25" s="3" t="inlineStr">
        <is>
          <t>전력사용</t>
        </is>
      </c>
      <c r="M25" s="3" t="inlineStr">
        <is>
          <t>전기</t>
        </is>
      </c>
      <c r="N25" s="3" t="inlineStr">
        <is>
          <t>A</t>
        </is>
      </c>
      <c r="O25" s="3" t="b">
        <v>0</v>
      </c>
      <c r="P25" s="3" t="inlineStr">
        <is>
          <t>해당없음</t>
        </is>
      </c>
      <c r="Q25" s="3" t="inlineStr">
        <is>
          <t>FALSE</t>
        </is>
      </c>
      <c r="R25" s="3" t="inlineStr">
        <is>
          <t>전기요금</t>
        </is>
      </c>
      <c r="S25" s="3" t="inlineStr">
        <is>
          <t>명확 케이스</t>
        </is>
      </c>
    </row>
    <row r="26" ht="12" customHeight="1">
      <c r="A26" s="3" t="inlineStr">
        <is>
          <t>I025</t>
        </is>
      </c>
      <c r="B26" s="3" t="inlineStr">
        <is>
          <t>C004</t>
        </is>
      </c>
      <c r="C26" s="19" t="inlineStr">
        <is>
          <t>2026-03-19</t>
        </is>
      </c>
      <c r="D26" s="3" t="inlineStr">
        <is>
          <t>대구철물</t>
        </is>
      </c>
      <c r="E26" s="3" t="inlineStr">
        <is>
          <t>절삭유 및 소모품</t>
        </is>
      </c>
      <c r="F26" s="6" t="n">
        <v>390000</v>
      </c>
      <c r="G26" s="6" t="n">
        <v>39000</v>
      </c>
      <c r="H26" s="6" t="n">
        <v>429000</v>
      </c>
      <c r="I26" s="20" t="n"/>
      <c r="J26" s="3" t="n"/>
      <c r="K26" s="3" t="inlineStr">
        <is>
          <t>검토</t>
        </is>
      </c>
      <c r="L26" s="3" t="inlineStr">
        <is>
          <t>공정소모품</t>
        </is>
      </c>
      <c r="M26" s="3" t="inlineStr">
        <is>
          <t>없음</t>
        </is>
      </c>
      <c r="N26" s="3" t="inlineStr">
        <is>
          <t>C</t>
        </is>
      </c>
      <c r="O26" s="3" t="b">
        <v>1</v>
      </c>
      <c r="P26" s="3" t="inlineStr">
        <is>
          <t>HITL</t>
        </is>
      </c>
      <c r="Q26" s="3" t="inlineStr">
        <is>
          <t>TRUE</t>
        </is>
      </c>
      <c r="R26" s="3" t="inlineStr">
        <is>
          <t>절삭유는 배출 산정 포함 여부 판단 필요</t>
        </is>
      </c>
      <c r="S26" s="3" t="inlineStr">
        <is>
          <t>HITL</t>
        </is>
      </c>
    </row>
    <row r="27" ht="12" customHeight="1">
      <c r="A27" s="3" t="inlineStr">
        <is>
          <t>I026</t>
        </is>
      </c>
      <c r="B27" s="3" t="inlineStr">
        <is>
          <t>C004</t>
        </is>
      </c>
      <c r="C27" s="19" t="inlineStr">
        <is>
          <t>2026-04-01</t>
        </is>
      </c>
      <c r="D27" s="3" t="inlineStr">
        <is>
          <t>구미도시가스</t>
        </is>
      </c>
      <c r="E27" s="3" t="inlineStr">
        <is>
          <t>도시가스</t>
        </is>
      </c>
      <c r="F27" s="6" t="n">
        <v>190000</v>
      </c>
      <c r="G27" s="6" t="n">
        <v>19000</v>
      </c>
      <c r="H27" s="6" t="n">
        <v>209000</v>
      </c>
      <c r="I27" s="20" t="n">
        <v>160</v>
      </c>
      <c r="J27" s="3" t="inlineStr">
        <is>
          <t>m3</t>
        </is>
      </c>
      <c r="K27" s="3" t="inlineStr">
        <is>
          <t>Scope 1</t>
        </is>
      </c>
      <c r="L27" s="3" t="inlineStr">
        <is>
          <t>고정연소</t>
        </is>
      </c>
      <c r="M27" s="3" t="inlineStr">
        <is>
          <t>도시가스</t>
        </is>
      </c>
      <c r="N27" s="3" t="inlineStr">
        <is>
          <t>A</t>
        </is>
      </c>
      <c r="O27" s="3" t="b">
        <v>0</v>
      </c>
      <c r="P27" s="3" t="inlineStr">
        <is>
          <t>해당없음</t>
        </is>
      </c>
      <c r="Q27" s="3" t="inlineStr">
        <is>
          <t>FALSE</t>
        </is>
      </c>
      <c r="R27" s="3" t="inlineStr">
        <is>
          <t>도시가스 명시</t>
        </is>
      </c>
      <c r="S27" s="3" t="inlineStr">
        <is>
          <t>명확 케이스</t>
        </is>
      </c>
    </row>
    <row r="28" ht="12" customHeight="1">
      <c r="A28" s="3" t="inlineStr">
        <is>
          <t>I027</t>
        </is>
      </c>
      <c r="B28" s="3" t="inlineStr">
        <is>
          <t>C004</t>
        </is>
      </c>
      <c r="C28" s="19" t="inlineStr">
        <is>
          <t>2026-04-11</t>
        </is>
      </c>
      <c r="D28" s="3" t="inlineStr">
        <is>
          <t>대구문구</t>
        </is>
      </c>
      <c r="E28" s="3" t="inlineStr">
        <is>
          <t>사무용 의자</t>
        </is>
      </c>
      <c r="F28" s="6" t="n">
        <v>280000</v>
      </c>
      <c r="G28" s="6" t="n">
        <v>28000</v>
      </c>
      <c r="H28" s="6" t="n">
        <v>308000</v>
      </c>
      <c r="I28" s="20" t="n"/>
      <c r="J28" s="3" t="n"/>
      <c r="K28" s="3" t="inlineStr">
        <is>
          <t>제외</t>
        </is>
      </c>
      <c r="L28" s="3" t="inlineStr">
        <is>
          <t>일반비용</t>
        </is>
      </c>
      <c r="M28" s="3" t="inlineStr">
        <is>
          <t>없음</t>
        </is>
      </c>
      <c r="N28" s="3" t="inlineStr">
        <is>
          <t>E</t>
        </is>
      </c>
      <c r="O28" s="3" t="b">
        <v>0</v>
      </c>
      <c r="P28" s="3" t="inlineStr">
        <is>
          <t>제외</t>
        </is>
      </c>
      <c r="Q28" s="3" t="inlineStr">
        <is>
          <t>FALSE</t>
        </is>
      </c>
      <c r="R28" s="3" t="inlineStr">
        <is>
          <t>일반비용</t>
        </is>
      </c>
      <c r="S28" s="3" t="inlineStr">
        <is>
          <t>제외 케이스</t>
        </is>
      </c>
    </row>
    <row r="29" ht="12" customHeight="1">
      <c r="A29" s="3" t="inlineStr">
        <is>
          <t>I028</t>
        </is>
      </c>
      <c r="B29" s="3" t="inlineStr">
        <is>
          <t>C004</t>
        </is>
      </c>
      <c r="C29" s="19" t="inlineStr">
        <is>
          <t>2026-04-21</t>
        </is>
      </c>
      <c r="D29" s="3" t="inlineStr">
        <is>
          <t>한국전력</t>
        </is>
      </c>
      <c r="E29" s="3" t="inlineStr">
        <is>
          <t>공장 전력료</t>
        </is>
      </c>
      <c r="F29" s="6" t="n">
        <v>830000</v>
      </c>
      <c r="G29" s="6" t="n">
        <v>83000</v>
      </c>
      <c r="H29" s="6" t="n">
        <v>913000</v>
      </c>
      <c r="I29" s="20" t="n">
        <v>2450</v>
      </c>
      <c r="J29" s="3" t="inlineStr">
        <is>
          <t>kWh</t>
        </is>
      </c>
      <c r="K29" s="3" t="inlineStr">
        <is>
          <t>Scope 2</t>
        </is>
      </c>
      <c r="L29" s="3" t="inlineStr">
        <is>
          <t>전력사용</t>
        </is>
      </c>
      <c r="M29" s="3" t="inlineStr">
        <is>
          <t>전기</t>
        </is>
      </c>
      <c r="N29" s="3" t="inlineStr">
        <is>
          <t>A</t>
        </is>
      </c>
      <c r="O29" s="3" t="b">
        <v>0</v>
      </c>
      <c r="P29" s="3" t="inlineStr">
        <is>
          <t>해당없음</t>
        </is>
      </c>
      <c r="Q29" s="3" t="inlineStr">
        <is>
          <t>FALSE</t>
        </is>
      </c>
      <c r="R29" s="3" t="inlineStr">
        <is>
          <t>전력료는 Scope 2</t>
        </is>
      </c>
      <c r="S29" s="3" t="inlineStr">
        <is>
          <t>명확 케이스</t>
        </is>
      </c>
    </row>
    <row r="30" ht="12" customHeight="1">
      <c r="A30" s="3" t="inlineStr">
        <is>
          <t>I029</t>
        </is>
      </c>
      <c r="B30" s="3" t="inlineStr">
        <is>
          <t>C005</t>
        </is>
      </c>
      <c r="C30" s="19" t="inlineStr">
        <is>
          <t>2026-03-02</t>
        </is>
      </c>
      <c r="D30" s="3" t="inlineStr">
        <is>
          <t>포항오일</t>
        </is>
      </c>
      <c r="E30" s="3" t="inlineStr">
        <is>
          <t>화물차 경유</t>
        </is>
      </c>
      <c r="F30" s="6" t="n">
        <v>910000</v>
      </c>
      <c r="G30" s="6" t="n">
        <v>91000</v>
      </c>
      <c r="H30" s="6" t="n">
        <v>1001000</v>
      </c>
      <c r="I30" s="20" t="n">
        <v>700</v>
      </c>
      <c r="J30" s="3" t="inlineStr">
        <is>
          <t>L</t>
        </is>
      </c>
      <c r="K30" s="3" t="inlineStr">
        <is>
          <t>Scope 1</t>
        </is>
      </c>
      <c r="L30" s="3" t="inlineStr">
        <is>
          <t>이동연소</t>
        </is>
      </c>
      <c r="M30" s="3" t="inlineStr">
        <is>
          <t>경유</t>
        </is>
      </c>
      <c r="N30" s="3" t="inlineStr">
        <is>
          <t>A</t>
        </is>
      </c>
      <c r="O30" s="3" t="b">
        <v>0</v>
      </c>
      <c r="P30" s="3" t="inlineStr">
        <is>
          <t>해당없음</t>
        </is>
      </c>
      <c r="Q30" s="3" t="inlineStr">
        <is>
          <t>FALSE</t>
        </is>
      </c>
      <c r="R30" s="3" t="inlineStr">
        <is>
          <t>화물차 경유 명시</t>
        </is>
      </c>
      <c r="S30" s="3" t="inlineStr">
        <is>
          <t>명확 케이스</t>
        </is>
      </c>
    </row>
    <row r="31" ht="12" customHeight="1">
      <c r="A31" s="3" t="inlineStr">
        <is>
          <t>I030</t>
        </is>
      </c>
      <c r="B31" s="3" t="inlineStr">
        <is>
          <t>C005</t>
        </is>
      </c>
      <c r="C31" s="19" t="inlineStr">
        <is>
          <t>2026-03-13</t>
        </is>
      </c>
      <c r="D31" s="3" t="inlineStr">
        <is>
          <t>한국전력</t>
        </is>
      </c>
      <c r="E31" s="3" t="inlineStr">
        <is>
          <t>전기 사용료</t>
        </is>
      </c>
      <c r="F31" s="6" t="n">
        <v>1950000</v>
      </c>
      <c r="G31" s="6" t="n">
        <v>195000</v>
      </c>
      <c r="H31" s="6" t="n">
        <v>2145000</v>
      </c>
      <c r="I31" s="20" t="n">
        <v>5800</v>
      </c>
      <c r="J31" s="3" t="inlineStr">
        <is>
          <t>kWh</t>
        </is>
      </c>
      <c r="K31" s="3" t="inlineStr">
        <is>
          <t>Scope 2</t>
        </is>
      </c>
      <c r="L31" s="3" t="inlineStr">
        <is>
          <t>전력사용</t>
        </is>
      </c>
      <c r="M31" s="3" t="inlineStr">
        <is>
          <t>전기</t>
        </is>
      </c>
      <c r="N31" s="3" t="inlineStr">
        <is>
          <t>A</t>
        </is>
      </c>
      <c r="O31" s="3" t="b">
        <v>0</v>
      </c>
      <c r="P31" s="3" t="inlineStr">
        <is>
          <t>해당없음</t>
        </is>
      </c>
      <c r="Q31" s="3" t="inlineStr">
        <is>
          <t>FALSE</t>
        </is>
      </c>
      <c r="R31" s="3" t="inlineStr">
        <is>
          <t>전기 사용료</t>
        </is>
      </c>
      <c r="S31" s="3" t="inlineStr">
        <is>
          <t>명확 케이스</t>
        </is>
      </c>
    </row>
    <row r="32" ht="12" customHeight="1">
      <c r="A32" s="3" t="inlineStr">
        <is>
          <t>I031</t>
        </is>
      </c>
      <c r="B32" s="3" t="inlineStr">
        <is>
          <t>C005</t>
        </is>
      </c>
      <c r="C32" s="19" t="inlineStr">
        <is>
          <t>2026-03-21</t>
        </is>
      </c>
      <c r="D32" s="3" t="inlineStr">
        <is>
          <t>구미가스</t>
        </is>
      </c>
      <c r="E32" s="3" t="inlineStr">
        <is>
          <t>공장 가스비</t>
        </is>
      </c>
      <c r="F32" s="6" t="n">
        <v>270000</v>
      </c>
      <c r="G32" s="6" t="n">
        <v>27000</v>
      </c>
      <c r="H32" s="6" t="n">
        <v>297000</v>
      </c>
      <c r="I32" s="20" t="n"/>
      <c r="J32" s="3" t="n"/>
      <c r="K32" s="3" t="inlineStr">
        <is>
          <t>Scope 1</t>
        </is>
      </c>
      <c r="L32" s="3" t="inlineStr">
        <is>
          <t>고정연소</t>
        </is>
      </c>
      <c r="M32" s="3" t="inlineStr">
        <is>
          <t>가스종류 불명</t>
        </is>
      </c>
      <c r="N32" s="3" t="inlineStr">
        <is>
          <t>C</t>
        </is>
      </c>
      <c r="O32" s="3" t="b">
        <v>0</v>
      </c>
      <c r="P32" s="3" t="inlineStr">
        <is>
          <t>HITL</t>
        </is>
      </c>
      <c r="Q32" s="3" t="inlineStr">
        <is>
          <t>TRUE</t>
        </is>
      </c>
      <c r="R32" s="3" t="inlineStr">
        <is>
          <t>가스 종류 불명확</t>
        </is>
      </c>
      <c r="S32" s="3" t="inlineStr">
        <is>
          <t>애매 케이스</t>
        </is>
      </c>
    </row>
    <row r="33" ht="12" customHeight="1">
      <c r="A33" s="3" t="inlineStr">
        <is>
          <t>I032</t>
        </is>
      </c>
      <c r="B33" s="3" t="inlineStr">
        <is>
          <t>C005</t>
        </is>
      </c>
      <c r="C33" s="19" t="inlineStr">
        <is>
          <t>2026-04-03</t>
        </is>
      </c>
      <c r="D33" s="3" t="inlineStr">
        <is>
          <t>구내식당</t>
        </is>
      </c>
      <c r="E33" s="3" t="inlineStr">
        <is>
          <t>직원 식대</t>
        </is>
      </c>
      <c r="F33" s="6" t="n">
        <v>420000</v>
      </c>
      <c r="G33" s="6" t="n">
        <v>42000</v>
      </c>
      <c r="H33" s="6" t="n">
        <v>462000</v>
      </c>
      <c r="I33" s="20" t="n"/>
      <c r="J33" s="3" t="n"/>
      <c r="K33" s="3" t="inlineStr">
        <is>
          <t>제외</t>
        </is>
      </c>
      <c r="L33" s="3" t="inlineStr">
        <is>
          <t>일반비용</t>
        </is>
      </c>
      <c r="M33" s="3" t="inlineStr">
        <is>
          <t>없음</t>
        </is>
      </c>
      <c r="N33" s="3" t="inlineStr">
        <is>
          <t>E</t>
        </is>
      </c>
      <c r="O33" s="3" t="b">
        <v>0</v>
      </c>
      <c r="P33" s="3" t="inlineStr">
        <is>
          <t>제외</t>
        </is>
      </c>
      <c r="Q33" s="3" t="inlineStr">
        <is>
          <t>FALSE</t>
        </is>
      </c>
      <c r="R33" s="3" t="inlineStr">
        <is>
          <t>식대 제외</t>
        </is>
      </c>
      <c r="S33" s="3" t="inlineStr">
        <is>
          <t>제외 케이스</t>
        </is>
      </c>
    </row>
    <row r="34" ht="12" customHeight="1">
      <c r="A34" s="3" t="inlineStr">
        <is>
          <t>I033</t>
        </is>
      </c>
      <c r="B34" s="3" t="inlineStr">
        <is>
          <t>C005</t>
        </is>
      </c>
      <c r="C34" s="19" t="inlineStr">
        <is>
          <t>2026-04-10</t>
        </is>
      </c>
      <c r="D34" s="3" t="inlineStr">
        <is>
          <t>한국전력</t>
        </is>
      </c>
      <c r="E34" s="3" t="inlineStr">
        <is>
          <t>전력 사용료</t>
        </is>
      </c>
      <c r="F34" s="6" t="n">
        <v>2100000</v>
      </c>
      <c r="G34" s="6" t="n">
        <v>210000</v>
      </c>
      <c r="H34" s="6" t="n">
        <v>2310000</v>
      </c>
      <c r="I34" s="20" t="n">
        <v>6100</v>
      </c>
      <c r="J34" s="3" t="inlineStr">
        <is>
          <t>kWh</t>
        </is>
      </c>
      <c r="K34" s="3" t="inlineStr">
        <is>
          <t>Scope 2</t>
        </is>
      </c>
      <c r="L34" s="3" t="inlineStr">
        <is>
          <t>전력사용</t>
        </is>
      </c>
      <c r="M34" s="3" t="inlineStr">
        <is>
          <t>전기</t>
        </is>
      </c>
      <c r="N34" s="3" t="inlineStr">
        <is>
          <t>A</t>
        </is>
      </c>
      <c r="O34" s="3" t="b">
        <v>0</v>
      </c>
      <c r="P34" s="3" t="inlineStr">
        <is>
          <t>해당없음</t>
        </is>
      </c>
      <c r="Q34" s="3" t="inlineStr">
        <is>
          <t>FALSE</t>
        </is>
      </c>
      <c r="R34" s="3" t="inlineStr">
        <is>
          <t>전력 사용료</t>
        </is>
      </c>
      <c r="S34" s="3" t="inlineStr">
        <is>
          <t>명확 케이스</t>
        </is>
      </c>
    </row>
    <row r="35" ht="12" customHeight="1">
      <c r="A35" s="3" t="inlineStr">
        <is>
          <t>I034</t>
        </is>
      </c>
      <c r="B35" s="3" t="inlineStr">
        <is>
          <t>C005</t>
        </is>
      </c>
      <c r="C35" s="19" t="inlineStr">
        <is>
          <t>2026-04-17</t>
        </is>
      </c>
      <c r="D35" s="3" t="inlineStr">
        <is>
          <t>대경오일</t>
        </is>
      </c>
      <c r="E35" s="3" t="inlineStr">
        <is>
          <t>휘발유</t>
        </is>
      </c>
      <c r="F35" s="6" t="n">
        <v>120000</v>
      </c>
      <c r="G35" s="6" t="n">
        <v>12000</v>
      </c>
      <c r="H35" s="6" t="n">
        <v>132000</v>
      </c>
      <c r="I35" s="20" t="n">
        <v>70</v>
      </c>
      <c r="J35" s="3" t="inlineStr">
        <is>
          <t>L</t>
        </is>
      </c>
      <c r="K35" s="3" t="inlineStr">
        <is>
          <t>Scope 1</t>
        </is>
      </c>
      <c r="L35" s="3" t="inlineStr">
        <is>
          <t>이동연소</t>
        </is>
      </c>
      <c r="M35" s="3" t="inlineStr">
        <is>
          <t>휘발유</t>
        </is>
      </c>
      <c r="N35" s="3" t="inlineStr">
        <is>
          <t>A</t>
        </is>
      </c>
      <c r="O35" s="3" t="b">
        <v>0</v>
      </c>
      <c r="P35" s="3" t="inlineStr">
        <is>
          <t>해당없음</t>
        </is>
      </c>
      <c r="Q35" s="3" t="inlineStr">
        <is>
          <t>FALSE</t>
        </is>
      </c>
      <c r="R35" s="3" t="inlineStr">
        <is>
          <t>휘발유 명시</t>
        </is>
      </c>
      <c r="S35" s="3" t="inlineStr">
        <is>
          <t>명확 케이스</t>
        </is>
      </c>
    </row>
    <row r="36" ht="12" customHeight="1">
      <c r="A36" s="3" t="inlineStr">
        <is>
          <t>I035</t>
        </is>
      </c>
      <c r="B36" s="3" t="inlineStr">
        <is>
          <t>C006</t>
        </is>
      </c>
      <c r="C36" s="19" t="inlineStr">
        <is>
          <t>2026-03-06</t>
        </is>
      </c>
      <c r="D36" s="3" t="inlineStr">
        <is>
          <t>한국전력</t>
        </is>
      </c>
      <c r="E36" s="3" t="inlineStr">
        <is>
          <t>전기요금</t>
        </is>
      </c>
      <c r="F36" s="6" t="n">
        <v>640000</v>
      </c>
      <c r="G36" s="6" t="n">
        <v>64000</v>
      </c>
      <c r="H36" s="6" t="n">
        <v>704000</v>
      </c>
      <c r="I36" s="20" t="n">
        <v>1900</v>
      </c>
      <c r="J36" s="3" t="inlineStr">
        <is>
          <t>kWh</t>
        </is>
      </c>
      <c r="K36" s="3" t="inlineStr">
        <is>
          <t>Scope 2</t>
        </is>
      </c>
      <c r="L36" s="3" t="inlineStr">
        <is>
          <t>전력사용</t>
        </is>
      </c>
      <c r="M36" s="3" t="inlineStr">
        <is>
          <t>전기</t>
        </is>
      </c>
      <c r="N36" s="3" t="inlineStr">
        <is>
          <t>A</t>
        </is>
      </c>
      <c r="O36" s="3" t="b">
        <v>0</v>
      </c>
      <c r="P36" s="3" t="inlineStr">
        <is>
          <t>해당없음</t>
        </is>
      </c>
      <c r="Q36" s="3" t="inlineStr">
        <is>
          <t>FALSE</t>
        </is>
      </c>
      <c r="R36" s="3" t="inlineStr">
        <is>
          <t>전기요금</t>
        </is>
      </c>
      <c r="S36" s="3" t="inlineStr">
        <is>
          <t>명확 케이스</t>
        </is>
      </c>
    </row>
    <row r="37" ht="12" customHeight="1">
      <c r="A37" s="3" t="inlineStr">
        <is>
          <t>I036</t>
        </is>
      </c>
      <c r="B37" s="3" t="inlineStr">
        <is>
          <t>C006</t>
        </is>
      </c>
      <c r="C37" s="19" t="inlineStr">
        <is>
          <t>2026-03-18</t>
        </is>
      </c>
      <c r="D37" s="3" t="inlineStr">
        <is>
          <t>경북LPG</t>
        </is>
      </c>
      <c r="E37" s="3" t="inlineStr">
        <is>
          <t>LPG</t>
        </is>
      </c>
      <c r="F37" s="6" t="n">
        <v>155000</v>
      </c>
      <c r="G37" s="6" t="n">
        <v>15500</v>
      </c>
      <c r="H37" s="6" t="n">
        <v>170500</v>
      </c>
      <c r="I37" s="20" t="n">
        <v>80</v>
      </c>
      <c r="J37" s="3" t="inlineStr">
        <is>
          <t>kg</t>
        </is>
      </c>
      <c r="K37" s="3" t="inlineStr">
        <is>
          <t>Scope 1</t>
        </is>
      </c>
      <c r="L37" s="3" t="inlineStr">
        <is>
          <t>고정연소</t>
        </is>
      </c>
      <c r="M37" s="3" t="inlineStr">
        <is>
          <t>LPG</t>
        </is>
      </c>
      <c r="N37" s="3" t="inlineStr">
        <is>
          <t>A</t>
        </is>
      </c>
      <c r="O37" s="3" t="b">
        <v>0</v>
      </c>
      <c r="P37" s="3" t="inlineStr">
        <is>
          <t>해당없음</t>
        </is>
      </c>
      <c r="Q37" s="3" t="inlineStr">
        <is>
          <t>FALSE</t>
        </is>
      </c>
      <c r="R37" s="3" t="inlineStr">
        <is>
          <t>LPG 명시</t>
        </is>
      </c>
      <c r="S37" s="3" t="inlineStr">
        <is>
          <t>명확 케이스</t>
        </is>
      </c>
    </row>
    <row r="38" ht="12" customHeight="1">
      <c r="A38" s="3" t="inlineStr">
        <is>
          <t>I037</t>
        </is>
      </c>
      <c r="B38" s="3" t="inlineStr">
        <is>
          <t>C006</t>
        </is>
      </c>
      <c r="C38" s="19" t="inlineStr">
        <is>
          <t>2026-03-29</t>
        </is>
      </c>
      <c r="D38" s="3" t="inlineStr">
        <is>
          <t>대경유류</t>
        </is>
      </c>
      <c r="E38" s="3" t="inlineStr">
        <is>
          <t>기타 유류대</t>
        </is>
      </c>
      <c r="F38" s="6" t="n">
        <v>240000</v>
      </c>
      <c r="G38" s="6" t="n">
        <v>24000</v>
      </c>
      <c r="H38" s="6" t="n">
        <v>264000</v>
      </c>
      <c r="I38" s="20" t="n"/>
      <c r="J38" s="3" t="n"/>
      <c r="K38" s="3" t="inlineStr">
        <is>
          <t>Scope 1</t>
        </is>
      </c>
      <c r="L38" s="3" t="inlineStr">
        <is>
          <t>이동연소</t>
        </is>
      </c>
      <c r="M38" s="3" t="inlineStr">
        <is>
          <t>연료종류 불명</t>
        </is>
      </c>
      <c r="N38" s="3" t="inlineStr">
        <is>
          <t>C</t>
        </is>
      </c>
      <c r="O38" s="3" t="b">
        <v>0</v>
      </c>
      <c r="P38" s="3" t="inlineStr">
        <is>
          <t>HITL</t>
        </is>
      </c>
      <c r="Q38" s="3" t="inlineStr">
        <is>
          <t>TRUE</t>
        </is>
      </c>
      <c r="R38" s="3" t="inlineStr">
        <is>
          <t>연료 종류가 불명확</t>
        </is>
      </c>
      <c r="S38" s="3" t="inlineStr">
        <is>
          <t>애매 케이스</t>
        </is>
      </c>
    </row>
    <row r="39" ht="12" customHeight="1">
      <c r="A39" s="3" t="inlineStr">
        <is>
          <t>I038</t>
        </is>
      </c>
      <c r="B39" s="3" t="inlineStr">
        <is>
          <t>C006</t>
        </is>
      </c>
      <c r="C39" s="19" t="inlineStr">
        <is>
          <t>2026-04-07</t>
        </is>
      </c>
      <c r="D39" s="3" t="inlineStr">
        <is>
          <t>대구문구</t>
        </is>
      </c>
      <c r="E39" s="3" t="inlineStr">
        <is>
          <t>문구류</t>
        </is>
      </c>
      <c r="F39" s="6" t="n">
        <v>76000</v>
      </c>
      <c r="G39" s="6" t="n">
        <v>7600</v>
      </c>
      <c r="H39" s="6" t="n">
        <v>83600</v>
      </c>
      <c r="I39" s="20" t="n"/>
      <c r="J39" s="3" t="n"/>
      <c r="K39" s="3" t="inlineStr">
        <is>
          <t>제외</t>
        </is>
      </c>
      <c r="L39" s="3" t="inlineStr">
        <is>
          <t>일반비용</t>
        </is>
      </c>
      <c r="M39" s="3" t="inlineStr">
        <is>
          <t>없음</t>
        </is>
      </c>
      <c r="N39" s="3" t="inlineStr">
        <is>
          <t>E</t>
        </is>
      </c>
      <c r="O39" s="3" t="b">
        <v>0</v>
      </c>
      <c r="P39" s="3" t="inlineStr">
        <is>
          <t>제외</t>
        </is>
      </c>
      <c r="Q39" s="3" t="inlineStr">
        <is>
          <t>FALSE</t>
        </is>
      </c>
      <c r="R39" s="3" t="inlineStr">
        <is>
          <t>문구류 제외</t>
        </is>
      </c>
      <c r="S39" s="3" t="inlineStr">
        <is>
          <t>제외 케이스</t>
        </is>
      </c>
    </row>
    <row r="40" ht="12" customHeight="1">
      <c r="A40" s="3" t="inlineStr">
        <is>
          <t>I039</t>
        </is>
      </c>
      <c r="B40" s="3" t="inlineStr">
        <is>
          <t>C006</t>
        </is>
      </c>
      <c r="C40" s="19" t="inlineStr">
        <is>
          <t>2026-04-16</t>
        </is>
      </c>
      <c r="D40" s="3" t="inlineStr">
        <is>
          <t>한국전력</t>
        </is>
      </c>
      <c r="E40" s="3" t="inlineStr">
        <is>
          <t>공장 전기 사용료</t>
        </is>
      </c>
      <c r="F40" s="6" t="n">
        <v>710000</v>
      </c>
      <c r="G40" s="6" t="n">
        <v>71000</v>
      </c>
      <c r="H40" s="6" t="n">
        <v>781000</v>
      </c>
      <c r="I40" s="20" t="n">
        <v>2100</v>
      </c>
      <c r="J40" s="3" t="inlineStr">
        <is>
          <t>kWh</t>
        </is>
      </c>
      <c r="K40" s="3" t="inlineStr">
        <is>
          <t>Scope 2</t>
        </is>
      </c>
      <c r="L40" s="3" t="inlineStr">
        <is>
          <t>전력사용</t>
        </is>
      </c>
      <c r="M40" s="3" t="inlineStr">
        <is>
          <t>전기</t>
        </is>
      </c>
      <c r="N40" s="3" t="inlineStr">
        <is>
          <t>A</t>
        </is>
      </c>
      <c r="O40" s="3" t="b">
        <v>0</v>
      </c>
      <c r="P40" s="3" t="inlineStr">
        <is>
          <t>해당없음</t>
        </is>
      </c>
      <c r="Q40" s="3" t="inlineStr">
        <is>
          <t>FALSE</t>
        </is>
      </c>
      <c r="R40" s="3" t="inlineStr">
        <is>
          <t>전기 사용료</t>
        </is>
      </c>
      <c r="S40" s="3" t="inlineStr">
        <is>
          <t>명확 케이스</t>
        </is>
      </c>
    </row>
    <row r="41" ht="12" customHeight="1">
      <c r="A41" s="3" t="inlineStr">
        <is>
          <t>I040</t>
        </is>
      </c>
      <c r="B41" s="3" t="inlineStr">
        <is>
          <t>C006</t>
        </is>
      </c>
      <c r="C41" s="19" t="inlineStr">
        <is>
          <t>2026-04-24</t>
        </is>
      </c>
      <c r="D41" s="3" t="inlineStr">
        <is>
          <t>구미도시가스</t>
        </is>
      </c>
      <c r="E41" s="3" t="inlineStr">
        <is>
          <t>도시가스 요금</t>
        </is>
      </c>
      <c r="F41" s="6" t="n">
        <v>115000</v>
      </c>
      <c r="G41" s="6" t="n">
        <v>11500</v>
      </c>
      <c r="H41" s="6" t="n">
        <v>126500</v>
      </c>
      <c r="I41" s="20" t="n">
        <v>95</v>
      </c>
      <c r="J41" s="3" t="inlineStr">
        <is>
          <t>m3</t>
        </is>
      </c>
      <c r="K41" s="3" t="inlineStr">
        <is>
          <t>Scope 1</t>
        </is>
      </c>
      <c r="L41" s="3" t="inlineStr">
        <is>
          <t>고정연소</t>
        </is>
      </c>
      <c r="M41" s="3" t="inlineStr">
        <is>
          <t>도시가스</t>
        </is>
      </c>
      <c r="N41" s="3" t="inlineStr">
        <is>
          <t>A</t>
        </is>
      </c>
      <c r="O41" s="3" t="b">
        <v>0</v>
      </c>
      <c r="P41" s="3" t="inlineStr">
        <is>
          <t>해당없음</t>
        </is>
      </c>
      <c r="Q41" s="3" t="inlineStr">
        <is>
          <t>FALSE</t>
        </is>
      </c>
      <c r="R41" s="3" t="inlineStr">
        <is>
          <t>도시가스 사용량</t>
        </is>
      </c>
      <c r="S41" s="3" t="inlineStr">
        <is>
          <t>명확 케이스</t>
        </is>
      </c>
    </row>
    <row r="42">
      <c r="C42" s="21" t="n"/>
      <c r="F42" s="7" t="n"/>
      <c r="G42" s="7" t="n"/>
      <c r="H42" s="7" t="n"/>
      <c r="I42" s="22" t="n"/>
    </row>
    <row r="43">
      <c r="C43" s="21" t="n"/>
      <c r="F43" s="7" t="n"/>
      <c r="G43" s="7" t="n"/>
      <c r="H43" s="7" t="n"/>
      <c r="I43" s="22" t="n"/>
    </row>
    <row r="44">
      <c r="C44" s="21" t="n"/>
      <c r="F44" s="7" t="n"/>
      <c r="G44" s="7" t="n"/>
      <c r="H44" s="7" t="n"/>
      <c r="I44" s="22" t="n"/>
    </row>
    <row r="45">
      <c r="C45" s="21" t="n"/>
      <c r="F45" s="7" t="n"/>
      <c r="G45" s="7" t="n"/>
      <c r="H45" s="7" t="n"/>
      <c r="I45" s="22" t="n"/>
    </row>
    <row r="46">
      <c r="C46" s="21" t="n"/>
      <c r="F46" s="7" t="n"/>
      <c r="G46" s="7" t="n"/>
      <c r="H46" s="7" t="n"/>
      <c r="I46" s="22" t="n"/>
    </row>
    <row r="47">
      <c r="C47" s="21" t="n"/>
      <c r="F47" s="7" t="n"/>
      <c r="G47" s="7" t="n"/>
      <c r="H47" s="7" t="n"/>
      <c r="I47" s="22" t="n"/>
    </row>
    <row r="48">
      <c r="C48" s="21" t="n"/>
      <c r="F48" s="7" t="n"/>
      <c r="G48" s="7" t="n"/>
      <c r="H48" s="7" t="n"/>
      <c r="I48" s="22" t="n"/>
    </row>
    <row r="49">
      <c r="C49" s="21" t="n"/>
      <c r="F49" s="7" t="n"/>
      <c r="G49" s="7" t="n"/>
      <c r="H49" s="7" t="n"/>
      <c r="I49" s="22" t="n"/>
    </row>
    <row r="50">
      <c r="C50" s="21" t="n"/>
      <c r="F50" s="7" t="n"/>
      <c r="G50" s="7" t="n"/>
      <c r="H50" s="7" t="n"/>
      <c r="I50" s="22" t="n"/>
    </row>
    <row r="51">
      <c r="C51" s="21" t="n"/>
      <c r="F51" s="7" t="n"/>
      <c r="G51" s="7" t="n"/>
      <c r="H51" s="7" t="n"/>
      <c r="I51" s="22" t="n"/>
    </row>
    <row r="52">
      <c r="C52" s="21" t="n"/>
      <c r="F52" s="7" t="n"/>
      <c r="G52" s="7" t="n"/>
      <c r="H52" s="7" t="n"/>
      <c r="I52" s="22" t="n"/>
    </row>
    <row r="53">
      <c r="C53" s="21" t="n"/>
      <c r="F53" s="7" t="n"/>
      <c r="G53" s="7" t="n"/>
      <c r="H53" s="7" t="n"/>
      <c r="I53" s="22" t="n"/>
    </row>
    <row r="54">
      <c r="C54" s="21" t="n"/>
      <c r="F54" s="7" t="n"/>
      <c r="G54" s="7" t="n"/>
      <c r="H54" s="7" t="n"/>
      <c r="I54" s="22" t="n"/>
    </row>
    <row r="55">
      <c r="C55" s="21" t="n"/>
      <c r="F55" s="7" t="n"/>
      <c r="G55" s="7" t="n"/>
      <c r="H55" s="7" t="n"/>
      <c r="I55" s="22" t="n"/>
    </row>
    <row r="56">
      <c r="C56" s="21" t="n"/>
      <c r="F56" s="7" t="n"/>
      <c r="G56" s="7" t="n"/>
      <c r="H56" s="7" t="n"/>
      <c r="I56" s="22" t="n"/>
    </row>
    <row r="57">
      <c r="C57" s="21" t="n"/>
      <c r="F57" s="7" t="n"/>
      <c r="G57" s="7" t="n"/>
      <c r="H57" s="7" t="n"/>
      <c r="I57" s="22" t="n"/>
    </row>
    <row r="58">
      <c r="C58" s="21" t="n"/>
      <c r="F58" s="7" t="n"/>
      <c r="G58" s="7" t="n"/>
      <c r="H58" s="7" t="n"/>
      <c r="I58" s="22" t="n"/>
    </row>
    <row r="59">
      <c r="C59" s="21" t="n"/>
      <c r="F59" s="7" t="n"/>
      <c r="G59" s="7" t="n"/>
      <c r="H59" s="7" t="n"/>
      <c r="I59" s="22" t="n"/>
    </row>
    <row r="60">
      <c r="C60" s="21" t="n"/>
      <c r="F60" s="7" t="n"/>
      <c r="G60" s="7" t="n"/>
      <c r="H60" s="7" t="n"/>
      <c r="I60" s="22" t="n"/>
    </row>
    <row r="61">
      <c r="C61" s="21" t="n"/>
      <c r="F61" s="7" t="n"/>
      <c r="G61" s="7" t="n"/>
      <c r="H61" s="7" t="n"/>
      <c r="I61" s="22" t="n"/>
    </row>
    <row r="62">
      <c r="C62" s="21" t="n"/>
      <c r="F62" s="7" t="n"/>
      <c r="G62" s="7" t="n"/>
      <c r="H62" s="7" t="n"/>
      <c r="I62" s="22" t="n"/>
    </row>
    <row r="63">
      <c r="C63" s="21" t="n"/>
      <c r="F63" s="7" t="n"/>
      <c r="G63" s="7" t="n"/>
      <c r="H63" s="7" t="n"/>
      <c r="I63" s="22" t="n"/>
    </row>
    <row r="64">
      <c r="C64" s="21" t="n"/>
      <c r="F64" s="7" t="n"/>
      <c r="G64" s="7" t="n"/>
      <c r="H64" s="7" t="n"/>
      <c r="I64" s="22" t="n"/>
    </row>
    <row r="65">
      <c r="C65" s="21" t="n"/>
      <c r="F65" s="7" t="n"/>
      <c r="G65" s="7" t="n"/>
      <c r="H65" s="7" t="n"/>
      <c r="I65" s="22" t="n"/>
    </row>
    <row r="66">
      <c r="C66" s="21" t="n"/>
      <c r="F66" s="7" t="n"/>
      <c r="G66" s="7" t="n"/>
      <c r="H66" s="7" t="n"/>
      <c r="I66" s="22" t="n"/>
    </row>
    <row r="67">
      <c r="C67" s="21" t="n"/>
      <c r="F67" s="7" t="n"/>
      <c r="G67" s="7" t="n"/>
      <c r="H67" s="7" t="n"/>
      <c r="I67" s="22" t="n"/>
    </row>
    <row r="68">
      <c r="C68" s="21" t="n"/>
      <c r="F68" s="7" t="n"/>
      <c r="G68" s="7" t="n"/>
      <c r="H68" s="7" t="n"/>
      <c r="I68" s="22" t="n"/>
    </row>
    <row r="69">
      <c r="C69" s="21" t="n"/>
      <c r="F69" s="7" t="n"/>
      <c r="G69" s="7" t="n"/>
      <c r="H69" s="7" t="n"/>
      <c r="I69" s="22" t="n"/>
    </row>
    <row r="70">
      <c r="C70" s="21" t="n"/>
      <c r="F70" s="7" t="n"/>
      <c r="G70" s="7" t="n"/>
      <c r="H70" s="7" t="n"/>
      <c r="I70" s="22" t="n"/>
    </row>
    <row r="71">
      <c r="C71" s="21" t="n"/>
      <c r="F71" s="7" t="n"/>
      <c r="G71" s="7" t="n"/>
      <c r="H71" s="7" t="n"/>
      <c r="I71" s="22" t="n"/>
    </row>
    <row r="72">
      <c r="C72" s="21" t="n"/>
      <c r="F72" s="7" t="n"/>
      <c r="G72" s="7" t="n"/>
      <c r="H72" s="7" t="n"/>
      <c r="I72" s="22" t="n"/>
    </row>
    <row r="73">
      <c r="C73" s="21" t="n"/>
      <c r="F73" s="7" t="n"/>
      <c r="G73" s="7" t="n"/>
      <c r="H73" s="7" t="n"/>
      <c r="I73" s="22" t="n"/>
    </row>
    <row r="74">
      <c r="C74" s="21" t="n"/>
      <c r="F74" s="7" t="n"/>
      <c r="G74" s="7" t="n"/>
      <c r="H74" s="7" t="n"/>
      <c r="I74" s="22" t="n"/>
    </row>
    <row r="75">
      <c r="C75" s="21" t="n"/>
      <c r="F75" s="7" t="n"/>
      <c r="G75" s="7" t="n"/>
      <c r="H75" s="7" t="n"/>
      <c r="I75" s="22" t="n"/>
    </row>
    <row r="76">
      <c r="C76" s="21" t="n"/>
      <c r="F76" s="7" t="n"/>
      <c r="G76" s="7" t="n"/>
      <c r="H76" s="7" t="n"/>
      <c r="I76" s="22" t="n"/>
    </row>
    <row r="77">
      <c r="C77" s="21" t="n"/>
      <c r="F77" s="7" t="n"/>
      <c r="G77" s="7" t="n"/>
      <c r="H77" s="7" t="n"/>
      <c r="I77" s="22" t="n"/>
    </row>
    <row r="78">
      <c r="C78" s="21" t="n"/>
      <c r="F78" s="7" t="n"/>
      <c r="G78" s="7" t="n"/>
      <c r="H78" s="7" t="n"/>
      <c r="I78" s="22" t="n"/>
    </row>
    <row r="79">
      <c r="C79" s="21" t="n"/>
      <c r="F79" s="7" t="n"/>
      <c r="G79" s="7" t="n"/>
      <c r="H79" s="7" t="n"/>
      <c r="I79" s="22" t="n"/>
    </row>
    <row r="80">
      <c r="C80" s="21" t="n"/>
      <c r="F80" s="7" t="n"/>
      <c r="G80" s="7" t="n"/>
      <c r="H80" s="7" t="n"/>
      <c r="I80" s="22" t="n"/>
    </row>
    <row r="81">
      <c r="C81" s="21" t="n"/>
      <c r="F81" s="7" t="n"/>
      <c r="G81" s="7" t="n"/>
      <c r="H81" s="7" t="n"/>
      <c r="I81" s="22" t="n"/>
    </row>
    <row r="82">
      <c r="C82" s="21" t="n"/>
      <c r="F82" s="7" t="n"/>
      <c r="G82" s="7" t="n"/>
      <c r="H82" s="7" t="n"/>
      <c r="I82" s="22" t="n"/>
    </row>
    <row r="83">
      <c r="C83" s="21" t="n"/>
      <c r="F83" s="7" t="n"/>
      <c r="G83" s="7" t="n"/>
      <c r="H83" s="7" t="n"/>
      <c r="I83" s="22" t="n"/>
    </row>
    <row r="84">
      <c r="C84" s="21" t="n"/>
      <c r="F84" s="7" t="n"/>
      <c r="G84" s="7" t="n"/>
      <c r="H84" s="7" t="n"/>
      <c r="I84" s="22" t="n"/>
    </row>
    <row r="85">
      <c r="C85" s="21" t="n"/>
      <c r="F85" s="7" t="n"/>
      <c r="G85" s="7" t="n"/>
      <c r="H85" s="7" t="n"/>
      <c r="I85" s="22" t="n"/>
    </row>
    <row r="86">
      <c r="C86" s="21" t="n"/>
      <c r="F86" s="7" t="n"/>
      <c r="G86" s="7" t="n"/>
      <c r="H86" s="7" t="n"/>
      <c r="I86" s="22" t="n"/>
    </row>
    <row r="87">
      <c r="C87" s="21" t="n"/>
      <c r="F87" s="7" t="n"/>
      <c r="G87" s="7" t="n"/>
      <c r="H87" s="7" t="n"/>
      <c r="I87" s="22" t="n"/>
    </row>
    <row r="88">
      <c r="C88" s="21" t="n"/>
      <c r="F88" s="7" t="n"/>
      <c r="G88" s="7" t="n"/>
      <c r="H88" s="7" t="n"/>
      <c r="I88" s="22" t="n"/>
    </row>
    <row r="89">
      <c r="C89" s="21" t="n"/>
      <c r="F89" s="7" t="n"/>
      <c r="G89" s="7" t="n"/>
      <c r="H89" s="7" t="n"/>
      <c r="I89" s="22" t="n"/>
    </row>
    <row r="90">
      <c r="C90" s="21" t="n"/>
      <c r="F90" s="7" t="n"/>
      <c r="G90" s="7" t="n"/>
      <c r="H90" s="7" t="n"/>
      <c r="I90" s="22" t="n"/>
    </row>
    <row r="91">
      <c r="C91" s="21" t="n"/>
      <c r="F91" s="7" t="n"/>
      <c r="G91" s="7" t="n"/>
      <c r="H91" s="7" t="n"/>
      <c r="I91" s="22" t="n"/>
    </row>
    <row r="92">
      <c r="C92" s="21" t="n"/>
      <c r="F92" s="7" t="n"/>
      <c r="G92" s="7" t="n"/>
      <c r="H92" s="7" t="n"/>
      <c r="I92" s="22" t="n"/>
    </row>
    <row r="93">
      <c r="C93" s="21" t="n"/>
      <c r="F93" s="7" t="n"/>
      <c r="G93" s="7" t="n"/>
      <c r="H93" s="7" t="n"/>
      <c r="I93" s="22" t="n"/>
    </row>
    <row r="94">
      <c r="C94" s="21" t="n"/>
      <c r="F94" s="7" t="n"/>
      <c r="G94" s="7" t="n"/>
      <c r="H94" s="7" t="n"/>
      <c r="I94" s="22" t="n"/>
    </row>
    <row r="95">
      <c r="C95" s="21" t="n"/>
      <c r="F95" s="7" t="n"/>
      <c r="G95" s="7" t="n"/>
      <c r="H95" s="7" t="n"/>
      <c r="I95" s="22" t="n"/>
    </row>
    <row r="96">
      <c r="C96" s="21" t="n"/>
      <c r="F96" s="7" t="n"/>
      <c r="G96" s="7" t="n"/>
      <c r="H96" s="7" t="n"/>
      <c r="I96" s="22" t="n"/>
    </row>
    <row r="97">
      <c r="C97" s="21" t="n"/>
      <c r="F97" s="7" t="n"/>
      <c r="G97" s="7" t="n"/>
      <c r="H97" s="7" t="n"/>
      <c r="I97" s="22" t="n"/>
    </row>
    <row r="98">
      <c r="C98" s="21" t="n"/>
      <c r="F98" s="7" t="n"/>
      <c r="G98" s="7" t="n"/>
      <c r="H98" s="7" t="n"/>
      <c r="I98" s="22" t="n"/>
    </row>
    <row r="99">
      <c r="C99" s="21" t="n"/>
      <c r="F99" s="7" t="n"/>
      <c r="G99" s="7" t="n"/>
      <c r="H99" s="7" t="n"/>
      <c r="I99" s="22" t="n"/>
    </row>
    <row r="100">
      <c r="C100" s="21" t="n"/>
      <c r="F100" s="7" t="n"/>
      <c r="G100" s="7" t="n"/>
      <c r="H100" s="7" t="n"/>
      <c r="I100" s="22" t="n"/>
    </row>
  </sheetData>
  <conditionalFormatting sqref="K2:K100">
    <cfRule type="expression" priority="2" dxfId="4">
      <formula>K2="Scope 1"</formula>
    </cfRule>
    <cfRule type="expression" priority="3" dxfId="3">
      <formula>K2="Scope 2"</formula>
    </cfRule>
    <cfRule type="expression" priority="4" dxfId="2">
      <formula>K2="제외"</formula>
    </cfRule>
  </conditionalFormatting>
  <conditionalFormatting sqref="Q2:Q100">
    <cfRule type="expression" priority="1" dxfId="1">
      <formula>Q2="TRUE"</formula>
    </cfRule>
  </conditionalFormatting>
  <dataValidations count="2">
    <dataValidation sqref="K2:K200" showDropDown="0" showInputMessage="0" showErrorMessage="0" allowBlank="0" type="list">
      <formula1>"Scope 1,Scope 2,제외,검토"</formula1>
    </dataValidation>
    <dataValidation sqref="Q2:Q200" showDropDown="0" showInputMessage="0" showErrorMessage="0" allowBlank="0" type="list">
      <formula1>"TRUE,FALSE"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1"/>
  <sheetViews>
    <sheetView tabSelected="1" topLeftCell="A9" workbookViewId="0">
      <selection activeCell="G9" sqref="G9"/>
    </sheetView>
  </sheetViews>
  <sheetFormatPr baseColWidth="8" defaultRowHeight="13.8"/>
  <cols>
    <col width="5.8984375" customWidth="1" min="1" max="1"/>
    <col width="7.8984375" customWidth="1" min="2" max="2"/>
    <col width="16.3984375" customWidth="1" min="3" max="3"/>
    <col width="35" customWidth="1" min="4" max="4"/>
    <col width="26.09765625" customWidth="1" min="5" max="5"/>
    <col width="14.3984375" customWidth="1" min="6" max="6"/>
    <col width="20" customWidth="1" min="7" max="7"/>
    <col width="12.09765625" customWidth="1" min="8" max="8"/>
    <col width="9.69921875" customWidth="1" min="9" max="9"/>
    <col width="11.5" customWidth="1" min="10" max="10"/>
    <col width="13.69921875" customWidth="1" min="11" max="12"/>
    <col width="33.69921875" customWidth="1" min="13" max="13"/>
    <col width="20.59765625" customWidth="1" min="14" max="14"/>
  </cols>
  <sheetData>
    <row r="1" ht="12" customHeight="1">
      <c r="A1" s="17" t="inlineStr">
        <is>
          <t>rule_id</t>
        </is>
      </c>
      <c r="B1" s="17" t="inlineStr">
        <is>
          <t>우선순위</t>
        </is>
      </c>
      <c r="C1" s="17" t="inlineStr">
        <is>
          <t>대표키워드/문구</t>
        </is>
      </c>
      <c r="D1" s="17" t="inlineStr">
        <is>
          <t>포함 키워드</t>
        </is>
      </c>
      <c r="E1" s="17" t="inlineStr">
        <is>
          <t>제외/주의 키워드</t>
        </is>
      </c>
      <c r="F1" s="17" t="inlineStr">
        <is>
          <t>정답Scope</t>
        </is>
      </c>
      <c r="G1" s="17" t="inlineStr">
        <is>
          <t>세부분류</t>
        </is>
      </c>
      <c r="H1" s="17" t="inlineStr">
        <is>
          <t>연료/항목</t>
        </is>
      </c>
      <c r="I1" s="17" t="inlineStr">
        <is>
          <t>자동처리</t>
        </is>
      </c>
      <c r="J1" s="17" t="inlineStr">
        <is>
          <t>사람검토필요</t>
        </is>
      </c>
      <c r="K1" s="17" t="inlineStr">
        <is>
          <t>혼합품목 플래그</t>
        </is>
      </c>
      <c r="L1" s="17" t="inlineStr">
        <is>
          <t>기본 데이터품질</t>
        </is>
      </c>
      <c r="M1" s="17" t="inlineStr">
        <is>
          <t>판단기준/근거</t>
        </is>
      </c>
      <c r="N1" s="17" t="inlineStr">
        <is>
          <t>예시 전표 문구</t>
        </is>
      </c>
    </row>
    <row r="2" ht="12" customHeight="1">
      <c r="A2" s="16" t="inlineStr">
        <is>
          <t>R001</t>
        </is>
      </c>
      <c r="B2" s="16" t="n">
        <v>1</v>
      </c>
      <c r="C2" s="16" t="inlineStr">
        <is>
          <t>한국전력</t>
        </is>
      </c>
      <c r="D2" s="16" t="inlineStr">
        <is>
          <t>한국전력, 한전, 전기요금, 전력사용료, kWh</t>
        </is>
      </c>
      <c r="E2" s="16" t="n"/>
      <c r="F2" s="16" t="inlineStr">
        <is>
          <t>Scope 2</t>
        </is>
      </c>
      <c r="G2" s="16" t="inlineStr">
        <is>
          <t>전력사용</t>
        </is>
      </c>
      <c r="H2" s="16" t="inlineStr">
        <is>
          <t>전기</t>
        </is>
      </c>
      <c r="I2" s="16" t="inlineStr">
        <is>
          <t>자동분류</t>
        </is>
      </c>
      <c r="J2" s="16" t="b">
        <v>0</v>
      </c>
      <c r="K2" s="16" t="b">
        <v>0</v>
      </c>
      <c r="L2" s="16" t="inlineStr">
        <is>
          <t>A</t>
        </is>
      </c>
      <c r="M2" s="16" t="inlineStr">
        <is>
          <t>전기 구매 사용은 Scope 2</t>
        </is>
      </c>
      <c r="N2" s="16" t="inlineStr">
        <is>
          <t>한국전력 전기요금 3월분</t>
        </is>
      </c>
    </row>
    <row r="3" ht="12" customHeight="1">
      <c r="A3" s="16" t="inlineStr">
        <is>
          <t>R002</t>
        </is>
      </c>
      <c r="B3" s="16" t="n">
        <v>1</v>
      </c>
      <c r="C3" s="16" t="inlineStr">
        <is>
          <t>공장 전기</t>
        </is>
      </c>
      <c r="D3" s="16" t="inlineStr">
        <is>
          <t>전기료, 전기요금, 전력, 수전, kWh</t>
        </is>
      </c>
      <c r="E3" s="16" t="inlineStr">
        <is>
          <t>배터리, 전기공사</t>
        </is>
      </c>
      <c r="F3" s="16" t="inlineStr">
        <is>
          <t>Scope 2</t>
        </is>
      </c>
      <c r="G3" s="16" t="inlineStr">
        <is>
          <t>전력사용</t>
        </is>
      </c>
      <c r="H3" s="16" t="inlineStr">
        <is>
          <t>전기</t>
        </is>
      </c>
      <c r="I3" s="16" t="inlineStr">
        <is>
          <t>자동분류</t>
        </is>
      </c>
      <c r="J3" s="16" t="b">
        <v>0</v>
      </c>
      <c r="K3" s="16" t="b">
        <v>0</v>
      </c>
      <c r="L3" s="16" t="inlineStr">
        <is>
          <t>A</t>
        </is>
      </c>
      <c r="M3" s="16" t="inlineStr">
        <is>
          <t>전기 사용량이 명확하면 Scope 2</t>
        </is>
      </c>
      <c r="N3" s="16" t="inlineStr">
        <is>
          <t>공장 전력 사용료</t>
        </is>
      </c>
    </row>
    <row r="4" ht="12" customHeight="1">
      <c r="A4" s="16" t="inlineStr">
        <is>
          <t>R003</t>
        </is>
      </c>
      <c r="B4" s="16" t="n">
        <v>1</v>
      </c>
      <c r="C4" s="16" t="inlineStr">
        <is>
          <t>CNC 전기</t>
        </is>
      </c>
      <c r="D4" s="16" t="inlineStr">
        <is>
          <t>CNC, 가공기, 설비, 전기료</t>
        </is>
      </c>
      <c r="E4" s="16" t="inlineStr">
        <is>
          <t>수리비, 설치비</t>
        </is>
      </c>
      <c r="F4" s="16" t="inlineStr">
        <is>
          <t>Scope 2</t>
        </is>
      </c>
      <c r="G4" s="16" t="inlineStr">
        <is>
          <t>전력사용</t>
        </is>
      </c>
      <c r="H4" s="16" t="inlineStr">
        <is>
          <t>전기</t>
        </is>
      </c>
      <c r="I4" s="16" t="inlineStr">
        <is>
          <t>자동분류</t>
        </is>
      </c>
      <c r="J4" s="16" t="b">
        <v>0</v>
      </c>
      <c r="K4" s="16" t="b">
        <v>0</v>
      </c>
      <c r="L4" s="16" t="inlineStr">
        <is>
          <t>B</t>
        </is>
      </c>
      <c r="M4" s="16" t="inlineStr">
        <is>
          <t>설비 가동 전기 사용으로 판단</t>
        </is>
      </c>
      <c r="N4" s="16" t="inlineStr">
        <is>
          <t>CNC 설비 전기료</t>
        </is>
      </c>
    </row>
    <row r="5" ht="12" customHeight="1">
      <c r="A5" s="16" t="inlineStr">
        <is>
          <t>R004</t>
        </is>
      </c>
      <c r="B5" s="16" t="n">
        <v>1</v>
      </c>
      <c r="C5" s="16" t="inlineStr">
        <is>
          <t>공조 전기</t>
        </is>
      </c>
      <c r="D5" s="16" t="inlineStr">
        <is>
          <t>공조, 냉난방, 냉방, 전기료</t>
        </is>
      </c>
      <c r="E5" s="16" t="inlineStr">
        <is>
          <t>공조설비 구매</t>
        </is>
      </c>
      <c r="F5" s="16" t="inlineStr">
        <is>
          <t>Scope 2</t>
        </is>
      </c>
      <c r="G5" s="16" t="inlineStr">
        <is>
          <t>전력사용</t>
        </is>
      </c>
      <c r="H5" s="16" t="inlineStr">
        <is>
          <t>전기</t>
        </is>
      </c>
      <c r="I5" s="16" t="inlineStr">
        <is>
          <t>자동분류</t>
        </is>
      </c>
      <c r="J5" s="16" t="b">
        <v>0</v>
      </c>
      <c r="K5" s="16" t="b">
        <v>0</v>
      </c>
      <c r="L5" s="16" t="inlineStr">
        <is>
          <t>B</t>
        </is>
      </c>
      <c r="M5" s="16" t="inlineStr">
        <is>
          <t>냉난방 전기 사용은 Scope 2</t>
        </is>
      </c>
      <c r="N5" s="16" t="inlineStr">
        <is>
          <t>공장 냉난방 전기료</t>
        </is>
      </c>
    </row>
    <row r="6" ht="12" customHeight="1">
      <c r="A6" s="16" t="inlineStr">
        <is>
          <t>R005</t>
        </is>
      </c>
      <c r="B6" s="16" t="n">
        <v>1</v>
      </c>
      <c r="C6" s="16" t="inlineStr">
        <is>
          <t>지게차 경유</t>
        </is>
      </c>
      <c r="D6" s="16" t="inlineStr">
        <is>
          <t>지게차, 경유</t>
        </is>
      </c>
      <c r="E6" s="16" t="n"/>
      <c r="F6" s="16" t="inlineStr">
        <is>
          <t>Scope 1</t>
        </is>
      </c>
      <c r="G6" s="16" t="inlineStr">
        <is>
          <t>이동연소</t>
        </is>
      </c>
      <c r="H6" s="16" t="inlineStr">
        <is>
          <t>경유</t>
        </is>
      </c>
      <c r="I6" s="16" t="inlineStr">
        <is>
          <t>자동분류</t>
        </is>
      </c>
      <c r="J6" s="16" t="b">
        <v>0</v>
      </c>
      <c r="K6" s="16" t="b">
        <v>1</v>
      </c>
      <c r="L6" s="16" t="inlineStr">
        <is>
          <t>A/B</t>
        </is>
      </c>
      <c r="M6" s="16" t="inlineStr">
        <is>
          <t>지게차 이동장비 연료</t>
        </is>
      </c>
      <c r="N6" s="16" t="inlineStr">
        <is>
          <t>지게차 경유 외 1종</t>
        </is>
      </c>
    </row>
    <row r="7" ht="12" customHeight="1">
      <c r="A7" s="16" t="inlineStr">
        <is>
          <t>R006</t>
        </is>
      </c>
      <c r="B7" s="16" t="n">
        <v>1</v>
      </c>
      <c r="C7" s="16" t="inlineStr">
        <is>
          <t>납품차량 경유</t>
        </is>
      </c>
      <c r="D7" s="16" t="inlineStr">
        <is>
          <t>납품차, 화물차, 차량, 경유, 주유</t>
        </is>
      </c>
      <c r="E7" s="16" t="n"/>
      <c r="F7" s="16" t="inlineStr">
        <is>
          <t>Scope 1</t>
        </is>
      </c>
      <c r="G7" s="16" t="inlineStr">
        <is>
          <t>이동연소</t>
        </is>
      </c>
      <c r="H7" s="16" t="inlineStr">
        <is>
          <t>경유</t>
        </is>
      </c>
      <c r="I7" s="16" t="inlineStr">
        <is>
          <t>자동분류</t>
        </is>
      </c>
      <c r="J7" s="16" t="b">
        <v>0</v>
      </c>
      <c r="K7" s="16" t="b">
        <v>0</v>
      </c>
      <c r="L7" s="16" t="inlineStr">
        <is>
          <t>A/B</t>
        </is>
      </c>
      <c r="M7" s="16" t="inlineStr">
        <is>
          <t>차량 연료는 이동연소</t>
        </is>
      </c>
      <c r="N7" s="16" t="inlineStr">
        <is>
          <t>납품 차량 경유 주유비</t>
        </is>
      </c>
    </row>
    <row r="8" ht="12" customHeight="1">
      <c r="A8" s="16" t="inlineStr">
        <is>
          <t>R007</t>
        </is>
      </c>
      <c r="B8" s="16" t="n">
        <v>1</v>
      </c>
      <c r="C8" s="16" t="inlineStr">
        <is>
          <t>업무용 차량 휘발유</t>
        </is>
      </c>
      <c r="D8" s="16" t="inlineStr">
        <is>
          <t>업무용 차량, 승용차, 휘발유, 주유</t>
        </is>
      </c>
      <c r="E8" s="16" t="n"/>
      <c r="F8" s="16" t="inlineStr">
        <is>
          <t>Scope 1</t>
        </is>
      </c>
      <c r="G8" s="16" t="inlineStr">
        <is>
          <t>이동연소</t>
        </is>
      </c>
      <c r="H8" s="16" t="inlineStr">
        <is>
          <t>휘발유</t>
        </is>
      </c>
      <c r="I8" s="16" t="inlineStr">
        <is>
          <t>자동분류</t>
        </is>
      </c>
      <c r="J8" s="16" t="b">
        <v>0</v>
      </c>
      <c r="K8" s="16" t="b">
        <v>0</v>
      </c>
      <c r="L8" s="16" t="inlineStr">
        <is>
          <t>A/B</t>
        </is>
      </c>
      <c r="M8" s="16" t="inlineStr">
        <is>
          <t>차량 휘발유는 이동연소</t>
        </is>
      </c>
      <c r="N8" s="16" t="inlineStr">
        <is>
          <t>업무용 차량 휘발유</t>
        </is>
      </c>
    </row>
    <row r="9" ht="12" customHeight="1">
      <c r="A9" s="16" t="inlineStr">
        <is>
          <t>R008</t>
        </is>
      </c>
      <c r="B9" s="16" t="n">
        <v>1</v>
      </c>
      <c r="C9" s="16" t="inlineStr">
        <is>
          <t>구내 운반차 연료</t>
        </is>
      </c>
      <c r="D9" s="16" t="inlineStr">
        <is>
          <t>구내 운반차, 운반차, 연료비</t>
        </is>
      </c>
      <c r="E9" s="16" t="inlineStr">
        <is>
          <t>경유/휘발유/LPG 불명</t>
        </is>
      </c>
      <c r="F9" s="16" t="inlineStr">
        <is>
          <t>Scope 1</t>
        </is>
      </c>
      <c r="G9" s="16" t="inlineStr">
        <is>
          <t>이동연소</t>
        </is>
      </c>
      <c r="H9" s="16" t="inlineStr">
        <is>
          <t>유류</t>
        </is>
      </c>
      <c r="I9" s="16" t="inlineStr">
        <is>
          <t>검토후분류</t>
        </is>
      </c>
      <c r="J9" s="16" t="b">
        <v>1</v>
      </c>
      <c r="K9" s="16" t="b">
        <v>0</v>
      </c>
      <c r="L9" s="16" t="inlineStr">
        <is>
          <t>C</t>
        </is>
      </c>
      <c r="M9" s="16" t="inlineStr">
        <is>
          <t>연료 종류 확인 필요</t>
        </is>
      </c>
      <c r="N9" s="16" t="inlineStr">
        <is>
          <t>구내 운반차 연료비</t>
        </is>
      </c>
    </row>
    <row r="10" ht="12" customHeight="1">
      <c r="A10" s="16" t="inlineStr">
        <is>
          <t>R009</t>
        </is>
      </c>
      <c r="B10" s="16" t="n">
        <v>1</v>
      </c>
      <c r="C10" s="16" t="inlineStr">
        <is>
          <t>LPG 지게차</t>
        </is>
      </c>
      <c r="D10" s="16" t="inlineStr">
        <is>
          <t>지게차, LPG, 충전</t>
        </is>
      </c>
      <c r="E10" s="16" t="n"/>
      <c r="F10" s="16" t="inlineStr">
        <is>
          <t>Scope 1</t>
        </is>
      </c>
      <c r="G10" s="16" t="inlineStr">
        <is>
          <t>이동연소</t>
        </is>
      </c>
      <c r="H10" s="16" t="inlineStr">
        <is>
          <t>LPG</t>
        </is>
      </c>
      <c r="I10" s="16" t="inlineStr">
        <is>
          <t>검토후분류</t>
        </is>
      </c>
      <c r="J10" s="16" t="b">
        <v>1</v>
      </c>
      <c r="K10" s="16" t="b">
        <v>0</v>
      </c>
      <c r="L10" s="16" t="inlineStr">
        <is>
          <t>C</t>
        </is>
      </c>
      <c r="M10" s="16" t="inlineStr">
        <is>
          <t>LPG 단위가 kg/L/Nm3인지 확인 필요</t>
        </is>
      </c>
      <c r="N10" s="16" t="inlineStr">
        <is>
          <t>LPG 지게차 충전비</t>
        </is>
      </c>
    </row>
    <row r="11" ht="12" customHeight="1">
      <c r="A11" s="16" t="inlineStr">
        <is>
          <t>R010</t>
        </is>
      </c>
      <c r="B11" s="16" t="n">
        <v>2</v>
      </c>
      <c r="C11" s="16" t="inlineStr">
        <is>
          <t>유류대금</t>
        </is>
      </c>
      <c r="D11" s="16" t="inlineStr">
        <is>
          <t>유류대, 주유대, 유류비</t>
        </is>
      </c>
      <c r="E11" s="16" t="inlineStr">
        <is>
          <t>경유/휘발유 불명</t>
        </is>
      </c>
      <c r="F11" s="16" t="inlineStr">
        <is>
          <t>검토</t>
        </is>
      </c>
      <c r="G11" s="16" t="inlineStr">
        <is>
          <t>연료종류 불명</t>
        </is>
      </c>
      <c r="H11" s="16" t="inlineStr">
        <is>
          <t>유류</t>
        </is>
      </c>
      <c r="I11" s="16" t="inlineStr">
        <is>
          <t>사람검토</t>
        </is>
      </c>
      <c r="J11" s="16" t="b">
        <v>1</v>
      </c>
      <c r="K11" s="16" t="b">
        <v>0</v>
      </c>
      <c r="L11" s="16" t="inlineStr">
        <is>
          <t>C</t>
        </is>
      </c>
      <c r="M11" s="16" t="inlineStr">
        <is>
          <t>연료 종류 불명확</t>
        </is>
      </c>
      <c r="N11" s="16" t="inlineStr">
        <is>
          <t>현장 유류대금</t>
        </is>
      </c>
    </row>
    <row r="12" ht="12" customHeight="1">
      <c r="A12" s="16" t="inlineStr">
        <is>
          <t>R011</t>
        </is>
      </c>
      <c r="B12" s="16" t="n">
        <v>1</v>
      </c>
      <c r="C12" s="16" t="inlineStr">
        <is>
          <t>도시가스</t>
        </is>
      </c>
      <c r="D12" s="16" t="inlineStr">
        <is>
          <t>도시가스, 가스요금, 도시가스요금</t>
        </is>
      </c>
      <c r="E12" s="16" t="inlineStr">
        <is>
          <t>LPG 도시가스 구분 필요</t>
        </is>
      </c>
      <c r="F12" s="16" t="inlineStr">
        <is>
          <t>Scope 1</t>
        </is>
      </c>
      <c r="G12" s="16" t="inlineStr">
        <is>
          <t>고정연소</t>
        </is>
      </c>
      <c r="H12" s="16" t="inlineStr">
        <is>
          <t>도시가스(LNG)</t>
        </is>
      </c>
      <c r="I12" s="16" t="inlineStr">
        <is>
          <t>자동분류</t>
        </is>
      </c>
      <c r="J12" s="16" t="b">
        <v>0</v>
      </c>
      <c r="K12" s="16" t="b">
        <v>0</v>
      </c>
      <c r="L12" s="16" t="inlineStr">
        <is>
          <t>A/B</t>
        </is>
      </c>
      <c r="M12" s="16" t="inlineStr">
        <is>
          <t>도시가스는 고정연소로 처리</t>
        </is>
      </c>
      <c r="N12" s="16" t="inlineStr">
        <is>
          <t>도시가스 3월분</t>
        </is>
      </c>
    </row>
    <row r="13" ht="12" customHeight="1">
      <c r="A13" s="16" t="inlineStr">
        <is>
          <t>R012</t>
        </is>
      </c>
      <c r="B13" s="16" t="n">
        <v>1</v>
      </c>
      <c r="C13" s="16" t="inlineStr">
        <is>
          <t>보일러 도시가스</t>
        </is>
      </c>
      <c r="D13" s="16" t="inlineStr">
        <is>
          <t>보일러, 도시가스</t>
        </is>
      </c>
      <c r="E13" s="16" t="n"/>
      <c r="F13" s="16" t="inlineStr">
        <is>
          <t>Scope 1</t>
        </is>
      </c>
      <c r="G13" s="16" t="inlineStr">
        <is>
          <t>고정연소</t>
        </is>
      </c>
      <c r="H13" s="16" t="inlineStr">
        <is>
          <t>도시가스(LNG)</t>
        </is>
      </c>
      <c r="I13" s="16" t="inlineStr">
        <is>
          <t>자동분류</t>
        </is>
      </c>
      <c r="J13" s="16" t="b">
        <v>0</v>
      </c>
      <c r="K13" s="16" t="b">
        <v>0</v>
      </c>
      <c r="L13" s="16" t="inlineStr">
        <is>
          <t>A/B</t>
        </is>
      </c>
      <c r="M13" s="16" t="inlineStr">
        <is>
          <t>고정 설비 연료</t>
        </is>
      </c>
      <c r="N13" s="16" t="inlineStr">
        <is>
          <t>공장 보일러용 도시가스</t>
        </is>
      </c>
    </row>
    <row r="14" ht="12" customHeight="1">
      <c r="A14" s="16" t="inlineStr">
        <is>
          <t>R013</t>
        </is>
      </c>
      <c r="B14" s="16" t="n">
        <v>1</v>
      </c>
      <c r="C14" s="16" t="inlineStr">
        <is>
          <t>난방유</t>
        </is>
      </c>
      <c r="D14" s="16" t="inlineStr">
        <is>
          <t>난방유, 동절기 난방, 등유</t>
        </is>
      </c>
      <c r="E14" s="16" t="inlineStr">
        <is>
          <t>연료 종류 불명</t>
        </is>
      </c>
      <c r="F14" s="16" t="inlineStr">
        <is>
          <t>Scope 1</t>
        </is>
      </c>
      <c r="G14" s="16" t="inlineStr">
        <is>
          <t>고정연소</t>
        </is>
      </c>
      <c r="H14" s="16" t="inlineStr">
        <is>
          <t>등유/난방유</t>
        </is>
      </c>
      <c r="I14" s="16" t="inlineStr">
        <is>
          <t>사람검토</t>
        </is>
      </c>
      <c r="J14" s="16" t="b">
        <v>1</v>
      </c>
      <c r="K14" s="16" t="b">
        <v>0</v>
      </c>
      <c r="L14" s="16" t="inlineStr">
        <is>
          <t>C</t>
        </is>
      </c>
      <c r="M14" s="16" t="inlineStr">
        <is>
          <t>난방유 종류 확인 필요</t>
        </is>
      </c>
      <c r="N14" s="16" t="inlineStr">
        <is>
          <t>동절기 난방유</t>
        </is>
      </c>
    </row>
    <row r="15" ht="12" customHeight="1">
      <c r="A15" s="16" t="inlineStr">
        <is>
          <t>R014</t>
        </is>
      </c>
      <c r="B15" s="16" t="n">
        <v>1</v>
      </c>
      <c r="C15" s="16" t="inlineStr">
        <is>
          <t>공장 보일러 등유</t>
        </is>
      </c>
      <c r="D15" s="16" t="inlineStr">
        <is>
          <t>보일러, 등유</t>
        </is>
      </c>
      <c r="E15" s="16" t="n"/>
      <c r="F15" s="16" t="inlineStr">
        <is>
          <t>Scope 1</t>
        </is>
      </c>
      <c r="G15" s="16" t="inlineStr">
        <is>
          <t>고정연소</t>
        </is>
      </c>
      <c r="H15" s="16" t="inlineStr">
        <is>
          <t>등유</t>
        </is>
      </c>
      <c r="I15" s="16" t="inlineStr">
        <is>
          <t>자동분류</t>
        </is>
      </c>
      <c r="J15" s="16" t="b">
        <v>0</v>
      </c>
      <c r="K15" s="16" t="b">
        <v>0</v>
      </c>
      <c r="L15" s="16" t="inlineStr">
        <is>
          <t>B</t>
        </is>
      </c>
      <c r="M15" s="16" t="inlineStr">
        <is>
          <t>고정 설비에서 연료 연소</t>
        </is>
      </c>
      <c r="N15" s="16" t="inlineStr">
        <is>
          <t>공장 보일러 등유</t>
        </is>
      </c>
    </row>
    <row r="16" ht="12" customHeight="1">
      <c r="A16" s="16" t="inlineStr">
        <is>
          <t>R015</t>
        </is>
      </c>
      <c r="B16" s="16" t="n">
        <v>1</v>
      </c>
      <c r="C16" s="16" t="inlineStr">
        <is>
          <t>열처리로 연료</t>
        </is>
      </c>
      <c r="D16" s="16" t="inlineStr">
        <is>
          <t>열처리로, 연료</t>
        </is>
      </c>
      <c r="E16" s="16" t="inlineStr">
        <is>
          <t>연료 종류 불명</t>
        </is>
      </c>
      <c r="F16" s="16" t="inlineStr">
        <is>
          <t>Scope 1</t>
        </is>
      </c>
      <c r="G16" s="16" t="inlineStr">
        <is>
          <t>고정연소</t>
        </is>
      </c>
      <c r="H16" s="16" t="inlineStr">
        <is>
          <t>연료 불명</t>
        </is>
      </c>
      <c r="I16" s="16" t="inlineStr">
        <is>
          <t>사람검토</t>
        </is>
      </c>
      <c r="J16" s="16" t="b">
        <v>1</v>
      </c>
      <c r="K16" s="16" t="b">
        <v>0</v>
      </c>
      <c r="L16" s="16" t="inlineStr">
        <is>
          <t>C</t>
        </is>
      </c>
      <c r="M16" s="16" t="inlineStr">
        <is>
          <t>연료 종류 확인 필요</t>
        </is>
      </c>
      <c r="N16" s="16" t="inlineStr">
        <is>
          <t>열처리로 연료비</t>
        </is>
      </c>
    </row>
    <row r="17" ht="12" customHeight="1">
      <c r="A17" s="16" t="inlineStr">
        <is>
          <t>R016</t>
        </is>
      </c>
      <c r="B17" s="16" t="n">
        <v>1</v>
      </c>
      <c r="C17" s="16" t="inlineStr">
        <is>
          <t>건조로 LPG</t>
        </is>
      </c>
      <c r="D17" s="16" t="inlineStr">
        <is>
          <t>건조로, LPG</t>
        </is>
      </c>
      <c r="E17" s="16" t="n"/>
      <c r="F17" s="16" t="inlineStr">
        <is>
          <t>Scope 1</t>
        </is>
      </c>
      <c r="G17" s="16" t="inlineStr">
        <is>
          <t>고정연소</t>
        </is>
      </c>
      <c r="H17" s="16" t="inlineStr">
        <is>
          <t>LPG</t>
        </is>
      </c>
      <c r="I17" s="16" t="inlineStr">
        <is>
          <t>사람검토</t>
        </is>
      </c>
      <c r="J17" s="16" t="b">
        <v>1</v>
      </c>
      <c r="K17" s="16" t="b">
        <v>0</v>
      </c>
      <c r="L17" s="16" t="inlineStr">
        <is>
          <t>C</t>
        </is>
      </c>
      <c r="M17" s="16" t="inlineStr">
        <is>
          <t>LPG 사용 단위 확인 필요</t>
        </is>
      </c>
      <c r="N17" s="16" t="inlineStr">
        <is>
          <t>건조로 LPG 사용료</t>
        </is>
      </c>
    </row>
    <row r="18" ht="12" customHeight="1">
      <c r="A18" s="16" t="inlineStr">
        <is>
          <t>R017</t>
        </is>
      </c>
      <c r="B18" s="16" t="n">
        <v>1</v>
      </c>
      <c r="C18" s="16" t="inlineStr">
        <is>
          <t>비상발전기 경유</t>
        </is>
      </c>
      <c r="D18" s="16" t="inlineStr">
        <is>
          <t>비상발전기, 발전기, 경유</t>
        </is>
      </c>
      <c r="E18" s="16" t="n"/>
      <c r="F18" s="16" t="inlineStr">
        <is>
          <t>Scope 1</t>
        </is>
      </c>
      <c r="G18" s="16" t="inlineStr">
        <is>
          <t>고정연소</t>
        </is>
      </c>
      <c r="H18" s="16" t="inlineStr">
        <is>
          <t>경유</t>
        </is>
      </c>
      <c r="I18" s="16" t="inlineStr">
        <is>
          <t>자동분류</t>
        </is>
      </c>
      <c r="J18" s="16" t="b">
        <v>0</v>
      </c>
      <c r="K18" s="16" t="b">
        <v>0</v>
      </c>
      <c r="L18" s="16" t="inlineStr">
        <is>
          <t>A/B</t>
        </is>
      </c>
      <c r="M18" s="16" t="inlineStr">
        <is>
          <t>고정 설비 연료</t>
        </is>
      </c>
      <c r="N18" s="16" t="inlineStr">
        <is>
          <t>비상발전기 경유</t>
        </is>
      </c>
    </row>
    <row r="19" ht="12" customHeight="1">
      <c r="A19" s="16" t="inlineStr">
        <is>
          <t>R018</t>
        </is>
      </c>
      <c r="B19" s="16" t="n">
        <v>2</v>
      </c>
      <c r="C19" s="16" t="inlineStr">
        <is>
          <t>공장 가스비</t>
        </is>
      </c>
      <c r="D19" s="16" t="inlineStr">
        <is>
          <t>가스비, 공장가스</t>
        </is>
      </c>
      <c r="E19" s="16" t="inlineStr">
        <is>
          <t>도시가스/LPG/산업가스 불명</t>
        </is>
      </c>
      <c r="F19" s="16" t="inlineStr">
        <is>
          <t>검토</t>
        </is>
      </c>
      <c r="G19" s="16" t="inlineStr">
        <is>
          <t>가스종류 불명</t>
        </is>
      </c>
      <c r="H19" s="16" t="inlineStr">
        <is>
          <t>가스</t>
        </is>
      </c>
      <c r="I19" s="16" t="inlineStr">
        <is>
          <t>사람검토</t>
        </is>
      </c>
      <c r="J19" s="16" t="b">
        <v>1</v>
      </c>
      <c r="K19" s="16" t="b">
        <v>0</v>
      </c>
      <c r="L19" s="16" t="inlineStr">
        <is>
          <t>C</t>
        </is>
      </c>
      <c r="M19" s="16" t="inlineStr">
        <is>
          <t>가스 종류 확인 필요</t>
        </is>
      </c>
      <c r="N19" s="16" t="inlineStr">
        <is>
          <t>공장 가스비</t>
        </is>
      </c>
    </row>
    <row r="20" ht="12" customHeight="1">
      <c r="A20" s="16" t="inlineStr">
        <is>
          <t>R019</t>
        </is>
      </c>
      <c r="B20" s="16" t="n">
        <v>2</v>
      </c>
      <c r="C20" s="16" t="inlineStr">
        <is>
          <t>용접용 가스비</t>
        </is>
      </c>
      <c r="D20" s="16" t="inlineStr">
        <is>
          <t>용접용 가스, 용접가스</t>
        </is>
      </c>
      <c r="E20" s="16" t="inlineStr">
        <is>
          <t>산소/아르곤/LPG/아세틸렌 불명</t>
        </is>
      </c>
      <c r="F20" s="16" t="inlineStr">
        <is>
          <t>검토</t>
        </is>
      </c>
      <c r="G20" s="16" t="inlineStr">
        <is>
          <t>산업가스/연료가스 불명</t>
        </is>
      </c>
      <c r="H20" s="16" t="inlineStr">
        <is>
          <t>가스</t>
        </is>
      </c>
      <c r="I20" s="16" t="inlineStr">
        <is>
          <t>사람검토</t>
        </is>
      </c>
      <c r="J20" s="16" t="b">
        <v>1</v>
      </c>
      <c r="K20" s="16" t="b">
        <v>0</v>
      </c>
      <c r="L20" s="16" t="inlineStr">
        <is>
          <t>C</t>
        </is>
      </c>
      <c r="M20" s="16" t="inlineStr">
        <is>
          <t>연료성 여부 확인 필요</t>
        </is>
      </c>
      <c r="N20" s="16" t="inlineStr">
        <is>
          <t>공장 용접용 가스비</t>
        </is>
      </c>
    </row>
    <row r="21" ht="12" customHeight="1">
      <c r="A21" s="16" t="inlineStr">
        <is>
          <t>R020</t>
        </is>
      </c>
      <c r="B21" s="16" t="n">
        <v>1</v>
      </c>
      <c r="C21" s="16" t="inlineStr">
        <is>
          <t>산소</t>
        </is>
      </c>
      <c r="D21" s="16" t="inlineStr">
        <is>
          <t>산소, O2</t>
        </is>
      </c>
      <c r="E21" s="16" t="inlineStr">
        <is>
          <t>아세틸렌 등 혼합 제외</t>
        </is>
      </c>
      <c r="F21" s="16" t="inlineStr">
        <is>
          <t>제외</t>
        </is>
      </c>
      <c r="G21" s="16" t="inlineStr">
        <is>
          <t>산업가스/비연소</t>
        </is>
      </c>
      <c r="H21" s="16" t="inlineStr">
        <is>
          <t>산소</t>
        </is>
      </c>
      <c r="I21" s="16" t="inlineStr">
        <is>
          <t>자동제외</t>
        </is>
      </c>
      <c r="J21" s="16" t="b">
        <v>0</v>
      </c>
      <c r="K21" s="16" t="b">
        <v>0</v>
      </c>
      <c r="L21" s="16" t="inlineStr">
        <is>
          <t>E</t>
        </is>
      </c>
      <c r="M21" s="16" t="inlineStr">
        <is>
          <t>연료가 아니므로 Scope 1/2 산정 제외</t>
        </is>
      </c>
      <c r="N21" s="16" t="inlineStr">
        <is>
          <t>산소 가스 충전</t>
        </is>
      </c>
    </row>
    <row r="22" ht="12" customHeight="1">
      <c r="A22" s="16" t="inlineStr">
        <is>
          <t>R021</t>
        </is>
      </c>
      <c r="B22" s="16" t="n">
        <v>1</v>
      </c>
      <c r="C22" s="16" t="inlineStr">
        <is>
          <t>아르곤</t>
        </is>
      </c>
      <c r="D22" s="16" t="inlineStr">
        <is>
          <t>아르곤, Ar</t>
        </is>
      </c>
      <c r="E22" s="16" t="n"/>
      <c r="F22" s="16" t="inlineStr">
        <is>
          <t>제외</t>
        </is>
      </c>
      <c r="G22" s="16" t="inlineStr">
        <is>
          <t>산업가스/비연소</t>
        </is>
      </c>
      <c r="H22" s="16" t="inlineStr">
        <is>
          <t>아르곤</t>
        </is>
      </c>
      <c r="I22" s="16" t="inlineStr">
        <is>
          <t>자동제외</t>
        </is>
      </c>
      <c r="J22" s="16" t="b">
        <v>0</v>
      </c>
      <c r="K22" s="16" t="b">
        <v>0</v>
      </c>
      <c r="L22" s="16" t="inlineStr">
        <is>
          <t>E</t>
        </is>
      </c>
      <c r="M22" s="16" t="inlineStr">
        <is>
          <t>비활성 보호가스, 직접 연소 배출 아님</t>
        </is>
      </c>
      <c r="N22" s="16" t="inlineStr">
        <is>
          <t>아르곤 가스</t>
        </is>
      </c>
    </row>
    <row r="23" ht="12" customHeight="1">
      <c r="A23" s="16" t="inlineStr">
        <is>
          <t>R022</t>
        </is>
      </c>
      <c r="B23" s="16" t="n">
        <v>1</v>
      </c>
      <c r="C23" s="16" t="inlineStr">
        <is>
          <t>질소</t>
        </is>
      </c>
      <c r="D23" s="16" t="inlineStr">
        <is>
          <t>질소, N2</t>
        </is>
      </c>
      <c r="E23" s="16" t="n"/>
      <c r="F23" s="16" t="inlineStr">
        <is>
          <t>제외</t>
        </is>
      </c>
      <c r="G23" s="16" t="inlineStr">
        <is>
          <t>산업가스/비연소</t>
        </is>
      </c>
      <c r="H23" s="16" t="inlineStr">
        <is>
          <t>질소</t>
        </is>
      </c>
      <c r="I23" s="16" t="inlineStr">
        <is>
          <t>자동제외</t>
        </is>
      </c>
      <c r="J23" s="16" t="b">
        <v>0</v>
      </c>
      <c r="K23" s="16" t="b">
        <v>0</v>
      </c>
      <c r="L23" s="16" t="inlineStr">
        <is>
          <t>E</t>
        </is>
      </c>
      <c r="M23" s="16" t="inlineStr">
        <is>
          <t>비연소 산업가스</t>
        </is>
      </c>
      <c r="N23" s="16" t="inlineStr">
        <is>
          <t>질소 가스 충전</t>
        </is>
      </c>
    </row>
    <row r="24" ht="12" customHeight="1">
      <c r="A24" s="16" t="inlineStr">
        <is>
          <t>R023</t>
        </is>
      </c>
      <c r="B24" s="16" t="n">
        <v>2</v>
      </c>
      <c r="C24" s="16" t="inlineStr">
        <is>
          <t>산소·아르곤 외</t>
        </is>
      </c>
      <c r="D24" s="16" t="inlineStr">
        <is>
          <t>산소, 아르곤, 외</t>
        </is>
      </c>
      <c r="E24" s="16" t="inlineStr">
        <is>
          <t>외 항목 있음</t>
        </is>
      </c>
      <c r="F24" s="16" t="inlineStr">
        <is>
          <t>검토</t>
        </is>
      </c>
      <c r="G24" s="16" t="inlineStr">
        <is>
          <t>혼합 산업가스</t>
        </is>
      </c>
      <c r="H24" s="16" t="inlineStr">
        <is>
          <t>미정</t>
        </is>
      </c>
      <c r="I24" s="16" t="inlineStr">
        <is>
          <t>사람검토</t>
        </is>
      </c>
      <c r="J24" s="16" t="b">
        <v>1</v>
      </c>
      <c r="K24" s="16" t="b">
        <v>1</v>
      </c>
      <c r="L24" s="16" t="inlineStr">
        <is>
          <t>C</t>
        </is>
      </c>
      <c r="M24" s="16" t="inlineStr">
        <is>
          <t>외 항목에 연료성 가스 포함 가능</t>
        </is>
      </c>
      <c r="N24" s="16" t="inlineStr">
        <is>
          <t>산소·아르곤 가스 외</t>
        </is>
      </c>
    </row>
    <row r="25" ht="12" customHeight="1">
      <c r="A25" s="16" t="inlineStr">
        <is>
          <t>R024</t>
        </is>
      </c>
      <c r="B25" s="16" t="n">
        <v>1</v>
      </c>
      <c r="C25" s="16" t="inlineStr">
        <is>
          <t>아세틸렌</t>
        </is>
      </c>
      <c r="D25" s="16" t="inlineStr">
        <is>
          <t>아세틸렌, 절단가스</t>
        </is>
      </c>
      <c r="E25" s="16" t="n"/>
      <c r="F25" s="16" t="inlineStr">
        <is>
          <t>Scope 1</t>
        </is>
      </c>
      <c r="G25" s="16" t="inlineStr">
        <is>
          <t>고정연소</t>
        </is>
      </c>
      <c r="H25" s="16" t="inlineStr">
        <is>
          <t>아세틸렌</t>
        </is>
      </c>
      <c r="I25" s="16" t="inlineStr">
        <is>
          <t>사람검토</t>
        </is>
      </c>
      <c r="J25" s="16" t="b">
        <v>1</v>
      </c>
      <c r="K25" s="16" t="b">
        <v>0</v>
      </c>
      <c r="L25" s="16" t="inlineStr">
        <is>
          <t>C</t>
        </is>
      </c>
      <c r="M25" s="16" t="inlineStr">
        <is>
          <t>연료성 가스 가능, 계수 확인 필요</t>
        </is>
      </c>
      <c r="N25" s="16" t="inlineStr">
        <is>
          <t>아세틸렌 절단가스</t>
        </is>
      </c>
    </row>
    <row r="26" ht="12" customHeight="1">
      <c r="A26" s="16" t="inlineStr">
        <is>
          <t>R025</t>
        </is>
      </c>
      <c r="B26" s="16" t="n">
        <v>1</v>
      </c>
      <c r="C26" s="16" t="inlineStr">
        <is>
          <t>LPG 절단가스</t>
        </is>
      </c>
      <c r="D26" s="16" t="inlineStr">
        <is>
          <t>LPG, 절단가스</t>
        </is>
      </c>
      <c r="E26" s="16" t="n"/>
      <c r="F26" s="16" t="inlineStr">
        <is>
          <t>Scope 1</t>
        </is>
      </c>
      <c r="G26" s="16" t="inlineStr">
        <is>
          <t>고정연소</t>
        </is>
      </c>
      <c r="H26" s="16" t="inlineStr">
        <is>
          <t>LPG</t>
        </is>
      </c>
      <c r="I26" s="16" t="inlineStr">
        <is>
          <t>사람검토</t>
        </is>
      </c>
      <c r="J26" s="16" t="b">
        <v>1</v>
      </c>
      <c r="K26" s="16" t="b">
        <v>0</v>
      </c>
      <c r="L26" s="16" t="inlineStr">
        <is>
          <t>C</t>
        </is>
      </c>
      <c r="M26" s="16" t="inlineStr">
        <is>
          <t>연료성 가스이나 단위 확인 필요</t>
        </is>
      </c>
      <c r="N26" s="16" t="inlineStr">
        <is>
          <t>LPG 절단가스</t>
        </is>
      </c>
    </row>
    <row r="27" ht="12" customHeight="1">
      <c r="A27" s="16" t="inlineStr">
        <is>
          <t>R026</t>
        </is>
      </c>
      <c r="B27" s="16" t="n">
        <v>2</v>
      </c>
      <c r="C27" s="16" t="inlineStr">
        <is>
          <t>산업용 가스</t>
        </is>
      </c>
      <c r="D27" s="16" t="inlineStr">
        <is>
          <t>산업용 가스, 공업용 가스</t>
        </is>
      </c>
      <c r="E27" s="16" t="inlineStr">
        <is>
          <t>종류 불명</t>
        </is>
      </c>
      <c r="F27" s="16" t="inlineStr">
        <is>
          <t>검토</t>
        </is>
      </c>
      <c r="G27" s="16" t="inlineStr">
        <is>
          <t>산업가스 불명</t>
        </is>
      </c>
      <c r="H27" s="16" t="inlineStr">
        <is>
          <t>미정</t>
        </is>
      </c>
      <c r="I27" s="16" t="inlineStr">
        <is>
          <t>사람검토</t>
        </is>
      </c>
      <c r="J27" s="16" t="b">
        <v>1</v>
      </c>
      <c r="K27" s="16" t="b">
        <v>0</v>
      </c>
      <c r="L27" s="16" t="inlineStr">
        <is>
          <t>C</t>
        </is>
      </c>
      <c r="M27" s="16" t="inlineStr">
        <is>
          <t>가스 종류별로 처리 다름</t>
        </is>
      </c>
      <c r="N27" s="16" t="inlineStr">
        <is>
          <t>산업용 가스 구입</t>
        </is>
      </c>
    </row>
    <row r="28" ht="12" customHeight="1">
      <c r="A28" s="16" t="inlineStr">
        <is>
          <t>R027</t>
        </is>
      </c>
      <c r="B28" s="16" t="n">
        <v>2</v>
      </c>
      <c r="C28" s="16" t="inlineStr">
        <is>
          <t>가스 외 1종</t>
        </is>
      </c>
      <c r="D28" s="16" t="inlineStr">
        <is>
          <t>가스, 외 1종</t>
        </is>
      </c>
      <c r="E28" s="16" t="inlineStr">
        <is>
          <t>혼합품목</t>
        </is>
      </c>
      <c r="F28" s="16" t="inlineStr">
        <is>
          <t>검토</t>
        </is>
      </c>
      <c r="G28" s="16" t="inlineStr">
        <is>
          <t>혼합품목</t>
        </is>
      </c>
      <c r="H28" s="16" t="inlineStr">
        <is>
          <t>미정</t>
        </is>
      </c>
      <c r="I28" s="16" t="inlineStr">
        <is>
          <t>사람검토</t>
        </is>
      </c>
      <c r="J28" s="16" t="b">
        <v>1</v>
      </c>
      <c r="K28" s="16" t="b">
        <v>1</v>
      </c>
      <c r="L28" s="16" t="inlineStr">
        <is>
          <t>C</t>
        </is>
      </c>
      <c r="M28" s="16" t="inlineStr">
        <is>
          <t>혼합품목이고 연료성 여부 불명확</t>
        </is>
      </c>
      <c r="N28" s="16" t="inlineStr">
        <is>
          <t>용접용 가스 외 1종</t>
        </is>
      </c>
    </row>
    <row r="29" ht="12" customHeight="1">
      <c r="A29" s="16" t="inlineStr">
        <is>
          <t>R028</t>
        </is>
      </c>
      <c r="B29" s="16" t="n">
        <v>2</v>
      </c>
      <c r="C29" s="16" t="inlineStr">
        <is>
          <t>경유 외 1종</t>
        </is>
      </c>
      <c r="D29" s="16" t="inlineStr">
        <is>
          <t>경유, 외 1종</t>
        </is>
      </c>
      <c r="E29" s="16" t="inlineStr">
        <is>
          <t>주 품목 명확</t>
        </is>
      </c>
      <c r="F29" s="16" t="inlineStr">
        <is>
          <t>Scope 1</t>
        </is>
      </c>
      <c r="G29" s="16" t="inlineStr">
        <is>
          <t>이동연소</t>
        </is>
      </c>
      <c r="H29" s="16" t="inlineStr">
        <is>
          <t>경유</t>
        </is>
      </c>
      <c r="I29" s="16" t="inlineStr">
        <is>
          <t>자동분류</t>
        </is>
      </c>
      <c r="J29" s="16" t="b">
        <v>0</v>
      </c>
      <c r="K29" s="16" t="b">
        <v>1</v>
      </c>
      <c r="L29" s="16" t="inlineStr">
        <is>
          <t>B</t>
        </is>
      </c>
      <c r="M29" s="16" t="inlineStr">
        <is>
          <t>MVP는 주 품목 100% 귀속</t>
        </is>
      </c>
      <c r="N29" s="16" t="inlineStr">
        <is>
          <t>지게차 경유 외 1종</t>
        </is>
      </c>
    </row>
    <row r="30" ht="12" customHeight="1">
      <c r="A30" s="16" t="inlineStr">
        <is>
          <t>R029</t>
        </is>
      </c>
      <c r="B30" s="16" t="n">
        <v>2</v>
      </c>
      <c r="C30" s="16" t="inlineStr">
        <is>
          <t>전기요금 외</t>
        </is>
      </c>
      <c r="D30" s="16" t="inlineStr">
        <is>
          <t>전기요금, 외</t>
        </is>
      </c>
      <c r="E30" s="16" t="inlineStr">
        <is>
          <t>주 품목 명확</t>
        </is>
      </c>
      <c r="F30" s="16" t="inlineStr">
        <is>
          <t>Scope 2</t>
        </is>
      </c>
      <c r="G30" s="16" t="inlineStr">
        <is>
          <t>전력사용</t>
        </is>
      </c>
      <c r="H30" s="16" t="inlineStr">
        <is>
          <t>전기</t>
        </is>
      </c>
      <c r="I30" s="16" t="inlineStr">
        <is>
          <t>자동분류</t>
        </is>
      </c>
      <c r="J30" s="16" t="b">
        <v>0</v>
      </c>
      <c r="K30" s="16" t="b">
        <v>1</v>
      </c>
      <c r="L30" s="16" t="inlineStr">
        <is>
          <t>B</t>
        </is>
      </c>
      <c r="M30" s="16" t="inlineStr">
        <is>
          <t>주 품목 전기요금 100% 귀속</t>
        </is>
      </c>
      <c r="N30" s="16" t="inlineStr">
        <is>
          <t>공장 전기요금 외</t>
        </is>
      </c>
    </row>
    <row r="31" ht="12" customHeight="1">
      <c r="A31" s="16" t="inlineStr">
        <is>
          <t>R030</t>
        </is>
      </c>
      <c r="B31" s="16" t="n">
        <v>2</v>
      </c>
      <c r="C31" s="16" t="inlineStr">
        <is>
          <t>설비 전기공사</t>
        </is>
      </c>
      <c r="D31" s="16" t="inlineStr">
        <is>
          <t>전기공사, 배선, 수전설비</t>
        </is>
      </c>
      <c r="E31" s="16" t="inlineStr">
        <is>
          <t>사용량 아님</t>
        </is>
      </c>
      <c r="F31" s="16" t="inlineStr">
        <is>
          <t>제외</t>
        </is>
      </c>
      <c r="G31" s="16" t="inlineStr">
        <is>
          <t>설비/공사비</t>
        </is>
      </c>
      <c r="H31" s="16" t="inlineStr">
        <is>
          <t>없음</t>
        </is>
      </c>
      <c r="I31" s="16" t="inlineStr">
        <is>
          <t>자동제외</t>
        </is>
      </c>
      <c r="J31" s="16" t="b">
        <v>0</v>
      </c>
      <c r="K31" s="16" t="b">
        <v>0</v>
      </c>
      <c r="L31" s="16" t="inlineStr">
        <is>
          <t>E</t>
        </is>
      </c>
      <c r="M31" s="16" t="inlineStr">
        <is>
          <t>전기 사용량이 아니라 공사비</t>
        </is>
      </c>
      <c r="N31" s="16" t="inlineStr">
        <is>
          <t>수전설비 전기공사</t>
        </is>
      </c>
    </row>
    <row r="32" ht="12" customHeight="1">
      <c r="A32" s="16" t="inlineStr">
        <is>
          <t>R031</t>
        </is>
      </c>
      <c r="B32" s="16" t="n">
        <v>2</v>
      </c>
      <c r="C32" s="16" t="inlineStr">
        <is>
          <t>고효율 설비</t>
        </is>
      </c>
      <c r="D32" s="16" t="inlineStr">
        <is>
          <t>고효율, 인버터, 공조설비, 설비구매</t>
        </is>
      </c>
      <c r="E32" s="16" t="n"/>
      <c r="F32" s="16" t="inlineStr">
        <is>
          <t>제외/참고</t>
        </is>
      </c>
      <c r="G32" s="16" t="inlineStr">
        <is>
          <t>감축투자 후보</t>
        </is>
      </c>
      <c r="H32" s="16" t="inlineStr">
        <is>
          <t>설비투자</t>
        </is>
      </c>
      <c r="I32" s="16" t="inlineStr">
        <is>
          <t>참고분류</t>
        </is>
      </c>
      <c r="J32" s="16" t="b">
        <v>1</v>
      </c>
      <c r="K32" s="16" t="b">
        <v>0</v>
      </c>
      <c r="L32" s="16" t="inlineStr">
        <is>
          <t>E</t>
        </is>
      </c>
      <c r="M32" s="16" t="inlineStr">
        <is>
          <t>배출량 계산 대상은 아니나 금융추천 후보</t>
        </is>
      </c>
      <c r="N32" s="16" t="inlineStr">
        <is>
          <t>고효율 공조설비 구매</t>
        </is>
      </c>
    </row>
    <row r="33" ht="12" customHeight="1">
      <c r="A33" s="16" t="inlineStr">
        <is>
          <t>R032</t>
        </is>
      </c>
      <c r="B33" s="16" t="n">
        <v>2</v>
      </c>
      <c r="C33" s="16" t="inlineStr">
        <is>
          <t>CNC 장비 구매</t>
        </is>
      </c>
      <c r="D33" s="16" t="inlineStr">
        <is>
          <t>CNC, 장비구매, 설비도입</t>
        </is>
      </c>
      <c r="E33" s="16" t="inlineStr">
        <is>
          <t>전기료 아님</t>
        </is>
      </c>
      <c r="F33" s="16" t="inlineStr">
        <is>
          <t>제외/참고</t>
        </is>
      </c>
      <c r="G33" s="16" t="inlineStr">
        <is>
          <t>설비투자</t>
        </is>
      </c>
      <c r="H33" s="16" t="inlineStr">
        <is>
          <t>없음</t>
        </is>
      </c>
      <c r="I33" s="16" t="inlineStr">
        <is>
          <t>참고분류</t>
        </is>
      </c>
      <c r="J33" s="16" t="b">
        <v>0</v>
      </c>
      <c r="K33" s="16" t="b">
        <v>0</v>
      </c>
      <c r="L33" s="16" t="inlineStr">
        <is>
          <t>E</t>
        </is>
      </c>
      <c r="M33" s="16" t="inlineStr">
        <is>
          <t>구매비는 Scope1/2 활동자료 아님</t>
        </is>
      </c>
      <c r="N33" s="16" t="inlineStr">
        <is>
          <t>CNC 장비 구매</t>
        </is>
      </c>
    </row>
    <row r="34" ht="12" customHeight="1">
      <c r="A34" s="16" t="inlineStr">
        <is>
          <t>R033</t>
        </is>
      </c>
      <c r="B34" s="16" t="n">
        <v>2</v>
      </c>
      <c r="C34" s="16" t="inlineStr">
        <is>
          <t>프레스기 수리</t>
        </is>
      </c>
      <c r="D34" s="16" t="inlineStr">
        <is>
          <t>수리비, 프레스기, 정비</t>
        </is>
      </c>
      <c r="E34" s="16" t="n"/>
      <c r="F34" s="16" t="inlineStr">
        <is>
          <t>제외</t>
        </is>
      </c>
      <c r="G34" s="16" t="inlineStr">
        <is>
          <t>수리비</t>
        </is>
      </c>
      <c r="H34" s="16" t="inlineStr">
        <is>
          <t>없음</t>
        </is>
      </c>
      <c r="I34" s="16" t="inlineStr">
        <is>
          <t>자동제외</t>
        </is>
      </c>
      <c r="J34" s="16" t="b">
        <v>0</v>
      </c>
      <c r="K34" s="16" t="b">
        <v>0</v>
      </c>
      <c r="L34" s="16" t="inlineStr">
        <is>
          <t>E</t>
        </is>
      </c>
      <c r="M34" s="16" t="inlineStr">
        <is>
          <t>직접 에너지 사용 아님</t>
        </is>
      </c>
      <c r="N34" s="16" t="inlineStr">
        <is>
          <t>프레스기 수리비</t>
        </is>
      </c>
    </row>
    <row r="35" ht="12" customHeight="1">
      <c r="A35" s="16" t="inlineStr">
        <is>
          <t>R034</t>
        </is>
      </c>
      <c r="B35" s="16" t="n">
        <v>2</v>
      </c>
      <c r="C35" s="16" t="inlineStr">
        <is>
          <t>공구·소모품</t>
        </is>
      </c>
      <c r="D35" s="16" t="inlineStr">
        <is>
          <t>공구, 소모품, 절삭공구</t>
        </is>
      </c>
      <c r="E35" s="16" t="n"/>
      <c r="F35" s="16" t="inlineStr">
        <is>
          <t>제외</t>
        </is>
      </c>
      <c r="G35" s="16" t="inlineStr">
        <is>
          <t>일반비용</t>
        </is>
      </c>
      <c r="H35" s="16" t="inlineStr">
        <is>
          <t>없음</t>
        </is>
      </c>
      <c r="I35" s="16" t="inlineStr">
        <is>
          <t>자동제외</t>
        </is>
      </c>
      <c r="J35" s="16" t="b">
        <v>0</v>
      </c>
      <c r="K35" s="16" t="b">
        <v>0</v>
      </c>
      <c r="L35" s="16" t="inlineStr">
        <is>
          <t>E</t>
        </is>
      </c>
      <c r="M35" s="16" t="inlineStr">
        <is>
          <t>MVP Scope1/2 제외</t>
        </is>
      </c>
      <c r="N35" s="16" t="inlineStr">
        <is>
          <t>절삭공구 구매</t>
        </is>
      </c>
    </row>
    <row r="36" ht="12" customHeight="1">
      <c r="A36" s="16" t="inlineStr">
        <is>
          <t>R035</t>
        </is>
      </c>
      <c r="B36" s="16" t="n">
        <v>2</v>
      </c>
      <c r="C36" s="16" t="inlineStr">
        <is>
          <t>사무용품</t>
        </is>
      </c>
      <c r="D36" s="16" t="inlineStr">
        <is>
          <t>사무용품, 문구, 복사용지</t>
        </is>
      </c>
      <c r="E36" s="16" t="n"/>
      <c r="F36" s="16" t="inlineStr">
        <is>
          <t>제외</t>
        </is>
      </c>
      <c r="G36" s="16" t="inlineStr">
        <is>
          <t>일반비용</t>
        </is>
      </c>
      <c r="H36" s="16" t="inlineStr">
        <is>
          <t>없음</t>
        </is>
      </c>
      <c r="I36" s="16" t="inlineStr">
        <is>
          <t>자동제외</t>
        </is>
      </c>
      <c r="J36" s="16" t="b">
        <v>0</v>
      </c>
      <c r="K36" s="16" t="b">
        <v>0</v>
      </c>
      <c r="L36" s="16" t="inlineStr">
        <is>
          <t>E</t>
        </is>
      </c>
      <c r="M36" s="16" t="inlineStr">
        <is>
          <t>MVP Scope1/2 제외</t>
        </is>
      </c>
      <c r="N36" s="16" t="inlineStr">
        <is>
          <t>사무용품 구입</t>
        </is>
      </c>
    </row>
    <row r="37" ht="12" customHeight="1">
      <c r="A37" s="16" t="inlineStr">
        <is>
          <t>R036</t>
        </is>
      </c>
      <c r="B37" s="16" t="n">
        <v>2</v>
      </c>
      <c r="C37" s="16" t="inlineStr">
        <is>
          <t>식대</t>
        </is>
      </c>
      <c r="D37" s="16" t="inlineStr">
        <is>
          <t>식대, 간식, 회식</t>
        </is>
      </c>
      <c r="E37" s="16" t="n"/>
      <c r="F37" s="16" t="inlineStr">
        <is>
          <t>제외</t>
        </is>
      </c>
      <c r="G37" s="16" t="inlineStr">
        <is>
          <t>일반비용</t>
        </is>
      </c>
      <c r="H37" s="16" t="inlineStr">
        <is>
          <t>없음</t>
        </is>
      </c>
      <c r="I37" s="16" t="inlineStr">
        <is>
          <t>자동제외</t>
        </is>
      </c>
      <c r="J37" s="16" t="b">
        <v>0</v>
      </c>
      <c r="K37" s="16" t="b">
        <v>0</v>
      </c>
      <c r="L37" s="16" t="inlineStr">
        <is>
          <t>E</t>
        </is>
      </c>
      <c r="M37" s="16" t="inlineStr">
        <is>
          <t>탄소 계산 대상 아님</t>
        </is>
      </c>
      <c r="N37" s="16" t="inlineStr">
        <is>
          <t>직원 식대</t>
        </is>
      </c>
    </row>
    <row r="38" ht="12" customHeight="1">
      <c r="A38" s="16" t="inlineStr">
        <is>
          <t>R037</t>
        </is>
      </c>
      <c r="B38" s="16" t="n">
        <v>2</v>
      </c>
      <c r="C38" s="16" t="inlineStr">
        <is>
          <t>금속 원재료</t>
        </is>
      </c>
      <c r="D38" s="16" t="inlineStr">
        <is>
          <t>철판, 알루미늄, 스테인리스, 원재료</t>
        </is>
      </c>
      <c r="E38" s="16" t="n"/>
      <c r="F38" s="16" t="inlineStr">
        <is>
          <t>제외/Scope3 후보</t>
        </is>
      </c>
      <c r="G38" s="16" t="inlineStr">
        <is>
          <t>원재료</t>
        </is>
      </c>
      <c r="H38" s="16" t="inlineStr">
        <is>
          <t>금속</t>
        </is>
      </c>
      <c r="I38" s="16" t="inlineStr">
        <is>
          <t>참고분류</t>
        </is>
      </c>
      <c r="J38" s="16" t="b">
        <v>1</v>
      </c>
      <c r="K38" s="16" t="b">
        <v>0</v>
      </c>
      <c r="L38" s="16" t="inlineStr">
        <is>
          <t>E</t>
        </is>
      </c>
      <c r="M38" s="16" t="inlineStr">
        <is>
          <t>MVP는 Scope1/2만 산정</t>
        </is>
      </c>
      <c r="N38" s="16" t="inlineStr">
        <is>
          <t>금속 원재료 매입</t>
        </is>
      </c>
    </row>
    <row r="39" ht="12" customHeight="1">
      <c r="A39" s="16" t="inlineStr">
        <is>
          <t>R038</t>
        </is>
      </c>
      <c r="B39" s="16" t="n">
        <v>2</v>
      </c>
      <c r="C39" s="16" t="inlineStr">
        <is>
          <t>도금/표면처리 외주</t>
        </is>
      </c>
      <c r="D39" s="16" t="inlineStr">
        <is>
          <t>도금, 표면처리, 외주가공</t>
        </is>
      </c>
      <c r="E39" s="16" t="n"/>
      <c r="F39" s="16" t="inlineStr">
        <is>
          <t>제외/Scope3 후보</t>
        </is>
      </c>
      <c r="G39" s="16" t="inlineStr">
        <is>
          <t>외주가공</t>
        </is>
      </c>
      <c r="H39" s="16" t="inlineStr">
        <is>
          <t>없음</t>
        </is>
      </c>
      <c r="I39" s="16" t="inlineStr">
        <is>
          <t>참고분류</t>
        </is>
      </c>
      <c r="J39" s="16" t="b">
        <v>1</v>
      </c>
      <c r="K39" s="16" t="b">
        <v>0</v>
      </c>
      <c r="L39" s="16" t="inlineStr">
        <is>
          <t>E</t>
        </is>
      </c>
      <c r="M39" s="16" t="inlineStr">
        <is>
          <t>외주 공정은 MVP 제외</t>
        </is>
      </c>
      <c r="N39" s="16" t="inlineStr">
        <is>
          <t>부품 표면처리 외주비</t>
        </is>
      </c>
    </row>
    <row r="40" ht="12" customHeight="1">
      <c r="A40" s="16" t="inlineStr">
        <is>
          <t>R039</t>
        </is>
      </c>
      <c r="B40" s="16" t="n">
        <v>2</v>
      </c>
      <c r="C40" s="16" t="inlineStr">
        <is>
          <t>폐기물 처리</t>
        </is>
      </c>
      <c r="D40" s="16" t="inlineStr">
        <is>
          <t>폐기물, 폐수, 처리비</t>
        </is>
      </c>
      <c r="E40" s="16" t="n"/>
      <c r="F40" s="16" t="inlineStr">
        <is>
          <t>제외/Scope3 후보</t>
        </is>
      </c>
      <c r="G40" s="16" t="inlineStr">
        <is>
          <t>폐기물</t>
        </is>
      </c>
      <c r="H40" s="16" t="inlineStr">
        <is>
          <t>없음</t>
        </is>
      </c>
      <c r="I40" s="16" t="inlineStr">
        <is>
          <t>참고분류</t>
        </is>
      </c>
      <c r="J40" s="16" t="b">
        <v>1</v>
      </c>
      <c r="K40" s="16" t="b">
        <v>0</v>
      </c>
      <c r="L40" s="16" t="inlineStr">
        <is>
          <t>E</t>
        </is>
      </c>
      <c r="M40" s="16" t="inlineStr">
        <is>
          <t>MVP Scope1/2 제외</t>
        </is>
      </c>
      <c r="N40" s="16" t="inlineStr">
        <is>
          <t>폐기물 처리비</t>
        </is>
      </c>
    </row>
    <row r="41" ht="12" customHeight="1">
      <c r="A41" s="16" t="inlineStr">
        <is>
          <t>R040</t>
        </is>
      </c>
      <c r="B41" s="16" t="n">
        <v>2</v>
      </c>
      <c r="C41" s="16" t="inlineStr">
        <is>
          <t>운송비</t>
        </is>
      </c>
      <c r="D41" s="16" t="inlineStr">
        <is>
          <t>운송비, 택배, 화물운송</t>
        </is>
      </c>
      <c r="E41" s="16" t="inlineStr">
        <is>
          <t>자사 차량 연료 아님</t>
        </is>
      </c>
      <c r="F41" s="16" t="inlineStr">
        <is>
          <t>제외/Scope3 후보</t>
        </is>
      </c>
      <c r="G41" s="16" t="inlineStr">
        <is>
          <t>운송서비스</t>
        </is>
      </c>
      <c r="H41" s="16" t="inlineStr">
        <is>
          <t>없음</t>
        </is>
      </c>
      <c r="I41" s="16" t="inlineStr">
        <is>
          <t>참고분류</t>
        </is>
      </c>
      <c r="J41" s="16" t="b">
        <v>1</v>
      </c>
      <c r="K41" s="16" t="b">
        <v>0</v>
      </c>
      <c r="L41" s="16" t="inlineStr">
        <is>
          <t>E</t>
        </is>
      </c>
      <c r="M41" s="16" t="inlineStr">
        <is>
          <t>외부 운송서비스는 Scope3 후보</t>
        </is>
      </c>
      <c r="N41" s="16" t="inlineStr">
        <is>
          <t>화물 운송비</t>
        </is>
      </c>
    </row>
    <row r="42" ht="12" customHeight="1">
      <c r="A42" s="16" t="inlineStr">
        <is>
          <t>R041</t>
        </is>
      </c>
      <c r="B42" s="16" t="n">
        <v>1</v>
      </c>
      <c r="C42" s="16" t="inlineStr">
        <is>
          <t>전기지게차 충전</t>
        </is>
      </c>
      <c r="D42" s="16" t="inlineStr">
        <is>
          <t>전기지게차, 충전전력</t>
        </is>
      </c>
      <c r="E42" s="16" t="n"/>
      <c r="F42" s="16" t="inlineStr">
        <is>
          <t>Scope 2</t>
        </is>
      </c>
      <c r="G42" s="16" t="inlineStr">
        <is>
          <t>전력사용</t>
        </is>
      </c>
      <c r="H42" s="16" t="inlineStr">
        <is>
          <t>전기</t>
        </is>
      </c>
      <c r="I42" s="16" t="inlineStr">
        <is>
          <t>자동분류</t>
        </is>
      </c>
      <c r="J42" s="16" t="b">
        <v>0</v>
      </c>
      <c r="K42" s="16" t="b">
        <v>0</v>
      </c>
      <c r="L42" s="16" t="inlineStr">
        <is>
          <t>B</t>
        </is>
      </c>
      <c r="M42" s="16" t="inlineStr">
        <is>
          <t>전기 충전 사용은 전력사용</t>
        </is>
      </c>
      <c r="N42" s="16" t="inlineStr">
        <is>
          <t>전기지게차 충전 전력</t>
        </is>
      </c>
    </row>
    <row r="43" ht="12" customHeight="1">
      <c r="A43" s="16" t="inlineStr">
        <is>
          <t>R042</t>
        </is>
      </c>
      <c r="B43" s="16" t="n">
        <v>2</v>
      </c>
      <c r="C43" s="16" t="inlineStr">
        <is>
          <t>배터리 충전</t>
        </is>
      </c>
      <c r="D43" s="16" t="inlineStr">
        <is>
          <t>배터리 충전, 충전요금</t>
        </is>
      </c>
      <c r="E43" s="16" t="inlineStr">
        <is>
          <t>사용 주체 확인 필요</t>
        </is>
      </c>
      <c r="F43" s="16" t="inlineStr">
        <is>
          <t>Scope 2</t>
        </is>
      </c>
      <c r="G43" s="16" t="inlineStr">
        <is>
          <t>전력사용</t>
        </is>
      </c>
      <c r="H43" s="16" t="inlineStr">
        <is>
          <t>전기</t>
        </is>
      </c>
      <c r="I43" s="16" t="inlineStr">
        <is>
          <t>사람검토</t>
        </is>
      </c>
      <c r="J43" s="16" t="b">
        <v>1</v>
      </c>
      <c r="K43" s="16" t="b">
        <v>0</v>
      </c>
      <c r="L43" s="16" t="inlineStr">
        <is>
          <t>C</t>
        </is>
      </c>
      <c r="M43" s="16" t="inlineStr">
        <is>
          <t>회사 전기 사용인지 외부 서비스인지 확인</t>
        </is>
      </c>
      <c r="N43" s="16" t="inlineStr">
        <is>
          <t>장비 배터리 충전요금</t>
        </is>
      </c>
    </row>
    <row r="44" ht="12" customHeight="1">
      <c r="A44" s="16" t="inlineStr">
        <is>
          <t>R043</t>
        </is>
      </c>
      <c r="B44" s="16" t="n">
        <v>2</v>
      </c>
      <c r="C44" s="16" t="inlineStr">
        <is>
          <t>생산라인 전력</t>
        </is>
      </c>
      <c r="D44" s="16" t="inlineStr">
        <is>
          <t>생산라인, 전력, kWh</t>
        </is>
      </c>
      <c r="E44" s="16" t="n"/>
      <c r="F44" s="16" t="inlineStr">
        <is>
          <t>Scope 2</t>
        </is>
      </c>
      <c r="G44" s="16" t="inlineStr">
        <is>
          <t>전력사용</t>
        </is>
      </c>
      <c r="H44" s="16" t="inlineStr">
        <is>
          <t>전기</t>
        </is>
      </c>
      <c r="I44" s="16" t="inlineStr">
        <is>
          <t>자동분류</t>
        </is>
      </c>
      <c r="J44" s="16" t="b">
        <v>0</v>
      </c>
      <c r="K44" s="16" t="b">
        <v>0</v>
      </c>
      <c r="L44" s="16" t="inlineStr">
        <is>
          <t>A</t>
        </is>
      </c>
      <c r="M44" s="16" t="inlineStr">
        <is>
          <t>kWh 활동자료가 있으면 정확도 높음</t>
        </is>
      </c>
      <c r="N44" s="16" t="inlineStr">
        <is>
          <t>생산라인 전력 사용량</t>
        </is>
      </c>
    </row>
    <row r="45" ht="12" customHeight="1">
      <c r="A45" s="16" t="inlineStr">
        <is>
          <t>R044</t>
        </is>
      </c>
      <c r="B45" s="16" t="n">
        <v>2</v>
      </c>
      <c r="C45" s="16" t="inlineStr">
        <is>
          <t>압축공기 전력</t>
        </is>
      </c>
      <c r="D45" s="16" t="inlineStr">
        <is>
          <t>컴프레서, 압축기, 전력</t>
        </is>
      </c>
      <c r="E45" s="16" t="inlineStr">
        <is>
          <t>수리비 제외</t>
        </is>
      </c>
      <c r="F45" s="16" t="inlineStr">
        <is>
          <t>Scope 2</t>
        </is>
      </c>
      <c r="G45" s="16" t="inlineStr">
        <is>
          <t>전력사용</t>
        </is>
      </c>
      <c r="H45" s="16" t="inlineStr">
        <is>
          <t>전기</t>
        </is>
      </c>
      <c r="I45" s="16" t="inlineStr">
        <is>
          <t>자동분류</t>
        </is>
      </c>
      <c r="J45" s="16" t="b">
        <v>0</v>
      </c>
      <c r="K45" s="16" t="b">
        <v>0</v>
      </c>
      <c r="L45" s="16" t="inlineStr">
        <is>
          <t>B</t>
        </is>
      </c>
      <c r="M45" s="16" t="inlineStr">
        <is>
          <t>컴프레서 가동 전력</t>
        </is>
      </c>
      <c r="N45" s="16" t="inlineStr">
        <is>
          <t>컴프레서 전기요금</t>
        </is>
      </c>
    </row>
    <row r="46" ht="12" customHeight="1">
      <c r="A46" s="16" t="inlineStr">
        <is>
          <t>R045</t>
        </is>
      </c>
      <c r="B46" s="16" t="n">
        <v>2</v>
      </c>
      <c r="C46" s="16" t="inlineStr">
        <is>
          <t>압축기 수리</t>
        </is>
      </c>
      <c r="D46" s="16" t="inlineStr">
        <is>
          <t>컴프레서, 수리비</t>
        </is>
      </c>
      <c r="E46" s="16" t="inlineStr">
        <is>
          <t>전기요금 아님</t>
        </is>
      </c>
      <c r="F46" s="16" t="inlineStr">
        <is>
          <t>제외</t>
        </is>
      </c>
      <c r="G46" s="16" t="inlineStr">
        <is>
          <t>수리비</t>
        </is>
      </c>
      <c r="H46" s="16" t="inlineStr">
        <is>
          <t>없음</t>
        </is>
      </c>
      <c r="I46" s="16" t="inlineStr">
        <is>
          <t>자동제외</t>
        </is>
      </c>
      <c r="J46" s="16" t="b">
        <v>0</v>
      </c>
      <c r="K46" s="16" t="b">
        <v>0</v>
      </c>
      <c r="L46" s="16" t="inlineStr">
        <is>
          <t>E</t>
        </is>
      </c>
      <c r="M46" s="16" t="inlineStr">
        <is>
          <t>수리비는 활동자료 아님</t>
        </is>
      </c>
      <c r="N46" s="16" t="inlineStr">
        <is>
          <t>컴프레서 수리비</t>
        </is>
      </c>
    </row>
    <row r="47" ht="12" customHeight="1">
      <c r="A47" s="16" t="inlineStr">
        <is>
          <t>R046</t>
        </is>
      </c>
      <c r="B47" s="16" t="n">
        <v>2</v>
      </c>
      <c r="C47" s="16" t="inlineStr">
        <is>
          <t>전력 피크 요금</t>
        </is>
      </c>
      <c r="D47" s="16" t="inlineStr">
        <is>
          <t>최대수요, 피크, 전력요금</t>
        </is>
      </c>
      <c r="E47" s="16" t="n"/>
      <c r="F47" s="16" t="inlineStr">
        <is>
          <t>Scope 2</t>
        </is>
      </c>
      <c r="G47" s="16" t="inlineStr">
        <is>
          <t>전력사용</t>
        </is>
      </c>
      <c r="H47" s="16" t="inlineStr">
        <is>
          <t>전기</t>
        </is>
      </c>
      <c r="I47" s="16" t="inlineStr">
        <is>
          <t>자동분류</t>
        </is>
      </c>
      <c r="J47" s="16" t="b">
        <v>0</v>
      </c>
      <c r="K47" s="16" t="b">
        <v>0</v>
      </c>
      <c r="L47" s="16" t="inlineStr">
        <is>
          <t>B</t>
        </is>
      </c>
      <c r="M47" s="16" t="inlineStr">
        <is>
          <t>전력요금 항목</t>
        </is>
      </c>
      <c r="N47" s="16" t="inlineStr">
        <is>
          <t>전력 피크요금</t>
        </is>
      </c>
    </row>
    <row r="48" ht="12" customHeight="1">
      <c r="A48" s="16" t="inlineStr">
        <is>
          <t>R047</t>
        </is>
      </c>
      <c r="B48" s="16" t="n">
        <v>2</v>
      </c>
      <c r="C48" s="16" t="inlineStr">
        <is>
          <t>수도요금</t>
        </is>
      </c>
      <c r="D48" s="16" t="inlineStr">
        <is>
          <t>상수도, 수도요금</t>
        </is>
      </c>
      <c r="E48" s="16" t="n"/>
      <c r="F48" s="16" t="inlineStr">
        <is>
          <t>제외</t>
        </is>
      </c>
      <c r="G48" s="16" t="inlineStr">
        <is>
          <t>수도요금</t>
        </is>
      </c>
      <c r="H48" s="16" t="inlineStr">
        <is>
          <t>없음</t>
        </is>
      </c>
      <c r="I48" s="16" t="inlineStr">
        <is>
          <t>자동제외</t>
        </is>
      </c>
      <c r="J48" s="16" t="b">
        <v>0</v>
      </c>
      <c r="K48" s="16" t="b">
        <v>0</v>
      </c>
      <c r="L48" s="16" t="inlineStr">
        <is>
          <t>E</t>
        </is>
      </c>
      <c r="M48" s="16" t="inlineStr">
        <is>
          <t>MVP Scope1/2 제외</t>
        </is>
      </c>
      <c r="N48" s="16" t="inlineStr">
        <is>
          <t>공장 수도요금</t>
        </is>
      </c>
    </row>
    <row r="49" ht="12" customHeight="1">
      <c r="A49" s="16" t="inlineStr">
        <is>
          <t>R048</t>
        </is>
      </c>
      <c r="B49" s="16" t="n">
        <v>2</v>
      </c>
      <c r="C49" s="16" t="inlineStr">
        <is>
          <t>스팀 사용료</t>
        </is>
      </c>
      <c r="D49" s="16" t="inlineStr">
        <is>
          <t>스팀, 열사용료</t>
        </is>
      </c>
      <c r="E49" s="16" t="inlineStr">
        <is>
          <t>외부 구매열 가능</t>
        </is>
      </c>
      <c r="F49" s="16" t="inlineStr">
        <is>
          <t>검토</t>
        </is>
      </c>
      <c r="G49" s="16" t="inlineStr">
        <is>
          <t>구매열/스팀</t>
        </is>
      </c>
      <c r="H49" s="16" t="inlineStr">
        <is>
          <t>스팀</t>
        </is>
      </c>
      <c r="I49" s="16" t="inlineStr">
        <is>
          <t>사람검토</t>
        </is>
      </c>
      <c r="J49" s="16" t="b">
        <v>1</v>
      </c>
      <c r="K49" s="16" t="b">
        <v>0</v>
      </c>
      <c r="L49" s="16" t="inlineStr">
        <is>
          <t>C</t>
        </is>
      </c>
      <c r="M49" s="16" t="inlineStr">
        <is>
          <t>Scope2 구매열 가능하나 계수 필요</t>
        </is>
      </c>
      <c r="N49" s="16" t="inlineStr">
        <is>
          <t>공장 스팀 사용료</t>
        </is>
      </c>
    </row>
    <row r="50" ht="12" customHeight="1">
      <c r="A50" s="16" t="inlineStr">
        <is>
          <t>R049</t>
        </is>
      </c>
      <c r="B50" s="16" t="n">
        <v>2</v>
      </c>
      <c r="C50" s="16" t="inlineStr">
        <is>
          <t>냉각수/냉매</t>
        </is>
      </c>
      <c r="D50" s="16" t="inlineStr">
        <is>
          <t>냉매, 냉각수, 냉동기</t>
        </is>
      </c>
      <c r="E50" s="16" t="inlineStr">
        <is>
          <t>냉매 누출 여부 불명</t>
        </is>
      </c>
      <c r="F50" s="16" t="inlineStr">
        <is>
          <t>검토</t>
        </is>
      </c>
      <c r="G50" s="16" t="inlineStr">
        <is>
          <t>냉매/기타</t>
        </is>
      </c>
      <c r="H50" s="16" t="inlineStr">
        <is>
          <t>냉매</t>
        </is>
      </c>
      <c r="I50" s="16" t="inlineStr">
        <is>
          <t>사람검토</t>
        </is>
      </c>
      <c r="J50" s="16" t="b">
        <v>1</v>
      </c>
      <c r="K50" s="16" t="b">
        <v>0</v>
      </c>
      <c r="L50" s="16" t="inlineStr">
        <is>
          <t>C</t>
        </is>
      </c>
      <c r="M50" s="16" t="inlineStr">
        <is>
          <t>냉매는 별도 Scope1 fugitive 가능</t>
        </is>
      </c>
      <c r="N50" s="16" t="inlineStr">
        <is>
          <t>냉동기 냉매 충전</t>
        </is>
      </c>
    </row>
    <row r="51" ht="12" customHeight="1">
      <c r="A51" s="16" t="inlineStr">
        <is>
          <t>R050</t>
        </is>
      </c>
      <c r="B51" s="16" t="n">
        <v>2</v>
      </c>
      <c r="C51" s="16" t="inlineStr">
        <is>
          <t>기타 공장비</t>
        </is>
      </c>
      <c r="D51" s="16" t="inlineStr">
        <is>
          <t>공장관리비, 기타공장비</t>
        </is>
      </c>
      <c r="E51" s="16" t="inlineStr">
        <is>
          <t>내용 불명</t>
        </is>
      </c>
      <c r="F51" s="16" t="inlineStr">
        <is>
          <t>검토</t>
        </is>
      </c>
      <c r="G51" s="16" t="inlineStr">
        <is>
          <t>내용불명</t>
        </is>
      </c>
      <c r="H51" s="16" t="inlineStr">
        <is>
          <t>미정</t>
        </is>
      </c>
      <c r="I51" s="16" t="inlineStr">
        <is>
          <t>사람검토</t>
        </is>
      </c>
      <c r="J51" s="16" t="b">
        <v>1</v>
      </c>
      <c r="K51" s="16" t="b">
        <v>0</v>
      </c>
      <c r="L51" s="16" t="inlineStr">
        <is>
          <t>C</t>
        </is>
      </c>
      <c r="M51" s="16" t="inlineStr">
        <is>
          <t>세부 품목 확인 필요</t>
        </is>
      </c>
      <c r="N51" s="16" t="inlineStr">
        <is>
          <t>공장 관리비 일괄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0"/>
  <sheetViews>
    <sheetView workbookViewId="0">
      <selection activeCell="E11" sqref="E11"/>
    </sheetView>
  </sheetViews>
  <sheetFormatPr baseColWidth="8" defaultRowHeight="13.8"/>
  <cols>
    <col width="15.59765625" customWidth="1" min="1" max="1"/>
    <col width="9.296875" customWidth="1" min="2" max="2"/>
    <col width="5.5" customWidth="1" min="3" max="3"/>
    <col width="22" customWidth="1" min="4" max="4"/>
    <col width="20.69921875" customWidth="1" min="5" max="5"/>
    <col width="7.8984375" customWidth="1" min="6" max="6"/>
    <col width="24" customWidth="1" min="7" max="7"/>
    <col width="42" customWidth="1" min="8" max="8"/>
  </cols>
  <sheetData>
    <row r="1" ht="12" customHeight="1">
      <c r="A1" s="1" t="inlineStr">
        <is>
          <t>연료/에너지</t>
        </is>
      </c>
      <c r="B1" s="1" t="inlineStr">
        <is>
          <t>Scope</t>
        </is>
      </c>
      <c r="C1" s="1" t="inlineStr">
        <is>
          <t>단위</t>
        </is>
      </c>
      <c r="D1" s="1" t="inlineStr">
        <is>
          <t>배출계수_kgCO2e_per_unit</t>
        </is>
      </c>
      <c r="E1" s="1" t="inlineStr">
        <is>
          <t>월별_환산단가_공급가액</t>
        </is>
      </c>
      <c r="F1" s="1" t="inlineStr">
        <is>
          <t>단가단위</t>
        </is>
      </c>
      <c r="G1" s="1" t="inlineStr">
        <is>
          <t>출처URL</t>
        </is>
      </c>
      <c r="H1" s="1" t="inlineStr">
        <is>
          <t>비고</t>
        </is>
      </c>
    </row>
    <row r="2" ht="12" customHeight="1">
      <c r="A2" s="3" t="inlineStr">
        <is>
          <t>경유</t>
        </is>
      </c>
      <c r="B2" s="3" t="inlineStr">
        <is>
          <t>Scope 1</t>
        </is>
      </c>
      <c r="C2" s="3" t="inlineStr">
        <is>
          <t>L</t>
        </is>
      </c>
      <c r="D2" s="23" t="n">
        <v>2.615</v>
      </c>
      <c r="E2" s="10" t="n">
        <v>1308</v>
      </c>
      <c r="F2" s="3" t="inlineStr">
        <is>
          <t>원/L</t>
        </is>
      </c>
      <c r="G2" s="12" t="inlineStr">
        <is>
          <t>https://www.gir.go.kr</t>
        </is>
      </c>
      <c r="H2" s="3" t="inlineStr">
        <is>
          <t>데모 임시값. 실제 제출 전 공식 계수로 교체</t>
        </is>
      </c>
    </row>
    <row r="3" ht="12" customHeight="1">
      <c r="A3" s="3" t="inlineStr">
        <is>
          <t>휘발유</t>
        </is>
      </c>
      <c r="B3" s="3" t="inlineStr">
        <is>
          <t>Scope 1</t>
        </is>
      </c>
      <c r="C3" s="3" t="inlineStr">
        <is>
          <t>L</t>
        </is>
      </c>
      <c r="D3" s="23" t="n">
        <v>2.221</v>
      </c>
      <c r="E3" s="10" t="n">
        <v>1580</v>
      </c>
      <c r="F3" s="3" t="inlineStr">
        <is>
          <t>원/L</t>
        </is>
      </c>
      <c r="G3" s="3" t="inlineStr">
        <is>
          <t>https://www.gir.go.kr</t>
        </is>
      </c>
      <c r="H3" s="3" t="inlineStr">
        <is>
          <t>데모 임시값</t>
        </is>
      </c>
    </row>
    <row r="4" ht="12" customHeight="1">
      <c r="A4" s="14" t="inlineStr">
        <is>
          <t>도시가스</t>
        </is>
      </c>
      <c r="B4" s="3" t="inlineStr">
        <is>
          <t>Scope 1</t>
        </is>
      </c>
      <c r="C4" s="3" t="inlineStr">
        <is>
          <t>m3</t>
        </is>
      </c>
      <c r="D4" s="23" t="n">
        <v>2.2</v>
      </c>
      <c r="E4" s="10" t="n">
        <v>1220</v>
      </c>
      <c r="F4" s="3" t="inlineStr">
        <is>
          <t>원/m3</t>
        </is>
      </c>
      <c r="G4" s="3" t="inlineStr">
        <is>
          <t>https://www.gir.go.kr</t>
        </is>
      </c>
      <c r="H4" s="3" t="inlineStr">
        <is>
          <t>데모 임시값</t>
        </is>
      </c>
    </row>
    <row r="5" ht="12" customHeight="1">
      <c r="A5" s="3" t="inlineStr">
        <is>
          <t>LPG</t>
        </is>
      </c>
      <c r="B5" s="3" t="inlineStr">
        <is>
          <t>Scope 1</t>
        </is>
      </c>
      <c r="C5" s="3" t="inlineStr">
        <is>
          <t>kg</t>
        </is>
      </c>
      <c r="D5" s="23" t="n">
        <v>3.72</v>
      </c>
      <c r="E5" s="10" t="n">
        <v>1700</v>
      </c>
      <c r="F5" s="3" t="inlineStr">
        <is>
          <t>원/kg</t>
        </is>
      </c>
      <c r="G5" s="3" t="inlineStr">
        <is>
          <t>https://www.gir.go.kr</t>
        </is>
      </c>
      <c r="H5" s="3" t="inlineStr">
        <is>
          <t>데모 임시값</t>
        </is>
      </c>
    </row>
    <row r="6" ht="12" customHeight="1">
      <c r="A6" s="3" t="inlineStr">
        <is>
          <t>전기</t>
        </is>
      </c>
      <c r="B6" s="3" t="inlineStr">
        <is>
          <t>Scope 2</t>
        </is>
      </c>
      <c r="C6" s="3" t="inlineStr">
        <is>
          <t>kWh</t>
        </is>
      </c>
      <c r="D6" s="23" t="n">
        <v>0.45</v>
      </c>
      <c r="E6" s="10" t="n">
        <v>160</v>
      </c>
      <c r="F6" s="3" t="inlineStr">
        <is>
          <t>원/kWh</t>
        </is>
      </c>
      <c r="G6" s="3" t="inlineStr">
        <is>
          <t>https://www.kpx.or.kr</t>
        </is>
      </c>
      <c r="H6" s="3" t="inlineStr">
        <is>
          <t>데모 임시값. 전력 배출계수는 공식값 확인 필요</t>
        </is>
      </c>
    </row>
    <row r="7" ht="12" customHeight="1">
      <c r="A7" s="3" t="inlineStr">
        <is>
          <t>가스종류 불명</t>
        </is>
      </c>
      <c r="B7" s="3" t="inlineStr">
        <is>
          <t>Scope 1</t>
        </is>
      </c>
      <c r="C7" s="3" t="n"/>
      <c r="D7" s="23" t="n"/>
      <c r="E7" s="10" t="n"/>
      <c r="F7" s="3" t="n"/>
      <c r="G7" s="3" t="n"/>
      <c r="H7" s="3" t="inlineStr">
        <is>
          <t>HITL 필요</t>
        </is>
      </c>
    </row>
    <row r="8" ht="12" customHeight="1">
      <c r="A8" s="3" t="inlineStr">
        <is>
          <t>연료종류 불명</t>
        </is>
      </c>
      <c r="B8" s="3" t="inlineStr">
        <is>
          <t>Scope 1</t>
        </is>
      </c>
      <c r="C8" s="3" t="n"/>
      <c r="D8" s="23" t="n"/>
      <c r="E8" s="10" t="n"/>
      <c r="F8" s="3" t="n"/>
      <c r="G8" s="3" t="n"/>
      <c r="H8" s="3" t="inlineStr">
        <is>
          <t>HITL 필요</t>
        </is>
      </c>
    </row>
    <row r="9" ht="12" customHeight="1">
      <c r="A9" s="3" t="inlineStr">
        <is>
          <t>없음</t>
        </is>
      </c>
      <c r="B9" s="3" t="inlineStr">
        <is>
          <t>제외</t>
        </is>
      </c>
      <c r="C9" s="3" t="n"/>
      <c r="D9" s="23" t="n">
        <v>0</v>
      </c>
      <c r="E9" s="10" t="n"/>
      <c r="F9" s="3" t="n"/>
      <c r="G9" s="3" t="n"/>
      <c r="H9" s="3" t="inlineStr">
        <is>
          <t>산정 제외</t>
        </is>
      </c>
    </row>
    <row r="10">
      <c r="D10" s="11" t="n"/>
      <c r="E10" s="11" t="n"/>
    </row>
    <row r="11">
      <c r="D11" s="11" t="n"/>
      <c r="E11" s="11" t="n"/>
    </row>
    <row r="12">
      <c r="D12" s="11" t="n"/>
      <c r="E12" s="11" t="n"/>
    </row>
    <row r="13">
      <c r="D13" s="11" t="n"/>
      <c r="E13" s="11" t="n"/>
    </row>
    <row r="14">
      <c r="D14" s="11" t="n"/>
      <c r="E14" s="11" t="n"/>
    </row>
    <row r="15">
      <c r="D15" s="11" t="n"/>
      <c r="E15" s="11" t="n"/>
    </row>
    <row r="16">
      <c r="D16" s="11" t="n"/>
      <c r="E16" s="11" t="n"/>
    </row>
    <row r="17">
      <c r="D17" s="11" t="n"/>
      <c r="E17" s="11" t="n"/>
    </row>
    <row r="18">
      <c r="D18" s="11" t="n"/>
      <c r="E18" s="11" t="n"/>
    </row>
    <row r="19">
      <c r="D19" s="11" t="n"/>
      <c r="E19" s="11" t="n"/>
    </row>
    <row r="20">
      <c r="D20" s="11" t="n"/>
      <c r="E20" s="11" t="n"/>
    </row>
    <row r="21">
      <c r="D21" s="11" t="n"/>
      <c r="E21" s="11" t="n"/>
    </row>
    <row r="22">
      <c r="D22" s="11" t="n"/>
      <c r="E22" s="11" t="n"/>
    </row>
    <row r="23">
      <c r="D23" s="11" t="n"/>
      <c r="E23" s="11" t="n"/>
    </row>
    <row r="24">
      <c r="D24" s="11" t="n"/>
      <c r="E24" s="11" t="n"/>
    </row>
    <row r="25">
      <c r="D25" s="11" t="n"/>
      <c r="E25" s="11" t="n"/>
    </row>
    <row r="26">
      <c r="D26" s="11" t="n"/>
      <c r="E26" s="11" t="n"/>
    </row>
    <row r="27">
      <c r="D27" s="11" t="n"/>
      <c r="E27" s="11" t="n"/>
    </row>
    <row r="28">
      <c r="D28" s="11" t="n"/>
      <c r="E28" s="11" t="n"/>
    </row>
    <row r="29">
      <c r="D29" s="11" t="n"/>
      <c r="E29" s="11" t="n"/>
    </row>
    <row r="30">
      <c r="D30" s="11" t="n"/>
      <c r="E30" s="11" t="n"/>
    </row>
    <row r="31">
      <c r="D31" s="11" t="n"/>
      <c r="E31" s="11" t="n"/>
    </row>
    <row r="32">
      <c r="D32" s="11" t="n"/>
      <c r="E32" s="11" t="n"/>
    </row>
    <row r="33">
      <c r="D33" s="11" t="n"/>
      <c r="E33" s="11" t="n"/>
    </row>
    <row r="34">
      <c r="D34" s="11" t="n"/>
      <c r="E34" s="11" t="n"/>
    </row>
    <row r="35">
      <c r="D35" s="11" t="n"/>
      <c r="E35" s="11" t="n"/>
    </row>
    <row r="36">
      <c r="D36" s="11" t="n"/>
      <c r="E36" s="11" t="n"/>
    </row>
    <row r="37">
      <c r="D37" s="11" t="n"/>
      <c r="E37" s="11" t="n"/>
    </row>
    <row r="38">
      <c r="D38" s="11" t="n"/>
      <c r="E38" s="11" t="n"/>
    </row>
    <row r="39">
      <c r="D39" s="11" t="n"/>
      <c r="E39" s="11" t="n"/>
    </row>
    <row r="40">
      <c r="D40" s="11" t="n"/>
      <c r="E40" s="11" t="n"/>
    </row>
    <row r="41">
      <c r="D41" s="11" t="n"/>
      <c r="E41" s="11" t="n"/>
    </row>
    <row r="42">
      <c r="D42" s="11" t="n"/>
      <c r="E42" s="11" t="n"/>
    </row>
    <row r="43">
      <c r="D43" s="11" t="n"/>
      <c r="E43" s="11" t="n"/>
    </row>
    <row r="44">
      <c r="D44" s="11" t="n"/>
      <c r="E44" s="11" t="n"/>
    </row>
    <row r="45">
      <c r="D45" s="11" t="n"/>
      <c r="E45" s="11" t="n"/>
    </row>
    <row r="46">
      <c r="D46" s="11" t="n"/>
      <c r="E46" s="11" t="n"/>
    </row>
    <row r="47">
      <c r="D47" s="11" t="n"/>
      <c r="E47" s="11" t="n"/>
    </row>
    <row r="48">
      <c r="D48" s="11" t="n"/>
      <c r="E48" s="11" t="n"/>
    </row>
    <row r="49">
      <c r="D49" s="11" t="n"/>
      <c r="E49" s="11" t="n"/>
    </row>
    <row r="50">
      <c r="D50" s="11" t="n"/>
      <c r="E50" s="11" t="n"/>
    </row>
    <row r="51">
      <c r="D51" s="11" t="n"/>
      <c r="E51" s="11" t="n"/>
    </row>
    <row r="52">
      <c r="D52" s="11" t="n"/>
      <c r="E52" s="11" t="n"/>
    </row>
    <row r="53">
      <c r="D53" s="11" t="n"/>
      <c r="E53" s="11" t="n"/>
    </row>
    <row r="54">
      <c r="D54" s="11" t="n"/>
      <c r="E54" s="11" t="n"/>
    </row>
    <row r="55">
      <c r="D55" s="11" t="n"/>
      <c r="E55" s="11" t="n"/>
    </row>
    <row r="56">
      <c r="D56" s="11" t="n"/>
      <c r="E56" s="11" t="n"/>
    </row>
    <row r="57">
      <c r="D57" s="11" t="n"/>
      <c r="E57" s="11" t="n"/>
    </row>
    <row r="58">
      <c r="D58" s="11" t="n"/>
      <c r="E58" s="11" t="n"/>
    </row>
    <row r="59">
      <c r="D59" s="11" t="n"/>
      <c r="E59" s="11" t="n"/>
    </row>
    <row r="60">
      <c r="D60" s="11" t="n"/>
      <c r="E60" s="11" t="n"/>
    </row>
    <row r="61">
      <c r="D61" s="11" t="n"/>
      <c r="E61" s="11" t="n"/>
    </row>
    <row r="62">
      <c r="D62" s="11" t="n"/>
      <c r="E62" s="11" t="n"/>
    </row>
    <row r="63">
      <c r="D63" s="11" t="n"/>
      <c r="E63" s="11" t="n"/>
    </row>
    <row r="64">
      <c r="D64" s="11" t="n"/>
      <c r="E64" s="11" t="n"/>
    </row>
    <row r="65">
      <c r="D65" s="11" t="n"/>
      <c r="E65" s="11" t="n"/>
    </row>
    <row r="66">
      <c r="D66" s="11" t="n"/>
      <c r="E66" s="11" t="n"/>
    </row>
    <row r="67">
      <c r="D67" s="11" t="n"/>
      <c r="E67" s="11" t="n"/>
    </row>
    <row r="68">
      <c r="D68" s="11" t="n"/>
      <c r="E68" s="11" t="n"/>
    </row>
    <row r="69">
      <c r="D69" s="11" t="n"/>
      <c r="E69" s="11" t="n"/>
    </row>
    <row r="70">
      <c r="D70" s="11" t="n"/>
      <c r="E70" s="11" t="n"/>
    </row>
    <row r="71">
      <c r="D71" s="11" t="n"/>
      <c r="E71" s="11" t="n"/>
    </row>
    <row r="72">
      <c r="D72" s="11" t="n"/>
      <c r="E72" s="11" t="n"/>
    </row>
    <row r="73">
      <c r="D73" s="11" t="n"/>
      <c r="E73" s="11" t="n"/>
    </row>
    <row r="74">
      <c r="D74" s="11" t="n"/>
      <c r="E74" s="11" t="n"/>
    </row>
    <row r="75">
      <c r="D75" s="11" t="n"/>
      <c r="E75" s="11" t="n"/>
    </row>
    <row r="76">
      <c r="D76" s="11" t="n"/>
      <c r="E76" s="11" t="n"/>
    </row>
    <row r="77">
      <c r="D77" s="11" t="n"/>
      <c r="E77" s="11" t="n"/>
    </row>
    <row r="78">
      <c r="D78" s="11" t="n"/>
      <c r="E78" s="11" t="n"/>
    </row>
    <row r="79">
      <c r="D79" s="11" t="n"/>
      <c r="E79" s="11" t="n"/>
    </row>
    <row r="80">
      <c r="D80" s="11" t="n"/>
      <c r="E80" s="11" t="n"/>
    </row>
    <row r="81">
      <c r="D81" s="11" t="n"/>
      <c r="E81" s="11" t="n"/>
    </row>
    <row r="82">
      <c r="D82" s="11" t="n"/>
      <c r="E82" s="11" t="n"/>
    </row>
    <row r="83">
      <c r="D83" s="11" t="n"/>
      <c r="E83" s="11" t="n"/>
    </row>
    <row r="84">
      <c r="D84" s="11" t="n"/>
      <c r="E84" s="11" t="n"/>
    </row>
    <row r="85">
      <c r="D85" s="11" t="n"/>
      <c r="E85" s="11" t="n"/>
    </row>
    <row r="86">
      <c r="D86" s="11" t="n"/>
      <c r="E86" s="11" t="n"/>
    </row>
    <row r="87">
      <c r="D87" s="11" t="n"/>
      <c r="E87" s="11" t="n"/>
    </row>
    <row r="88">
      <c r="D88" s="11" t="n"/>
      <c r="E88" s="11" t="n"/>
    </row>
    <row r="89">
      <c r="D89" s="11" t="n"/>
      <c r="E89" s="11" t="n"/>
    </row>
    <row r="90">
      <c r="D90" s="11" t="n"/>
      <c r="E90" s="11" t="n"/>
    </row>
    <row r="91">
      <c r="D91" s="11" t="n"/>
      <c r="E91" s="11" t="n"/>
    </row>
    <row r="92">
      <c r="D92" s="11" t="n"/>
      <c r="E92" s="11" t="n"/>
    </row>
    <row r="93">
      <c r="D93" s="11" t="n"/>
      <c r="E93" s="11" t="n"/>
    </row>
    <row r="94">
      <c r="D94" s="11" t="n"/>
      <c r="E94" s="11" t="n"/>
    </row>
    <row r="95">
      <c r="D95" s="11" t="n"/>
      <c r="E95" s="11" t="n"/>
    </row>
    <row r="96">
      <c r="D96" s="11" t="n"/>
      <c r="E96" s="11" t="n"/>
    </row>
    <row r="97">
      <c r="D97" s="11" t="n"/>
      <c r="E97" s="11" t="n"/>
    </row>
    <row r="98">
      <c r="D98" s="11" t="n"/>
      <c r="E98" s="11" t="n"/>
    </row>
    <row r="99">
      <c r="D99" s="11" t="n"/>
      <c r="E99" s="11" t="n"/>
    </row>
    <row r="100">
      <c r="D100" s="11" t="n"/>
      <c r="E100" s="11" t="n"/>
    </row>
  </sheetData>
  <hyperlinks>
    <hyperlink xmlns:r="http://schemas.openxmlformats.org/officeDocument/2006/relationships" ref="G2" r:id="rId1"/>
  </hyperlinks>
  <pageMargins left="0.7" right="0.7" top="0.75" bottom="0.75" header="0.3" footer="0.3"/>
  <tableParts count="1">
    <tablePart xmlns:r="http://schemas.openxmlformats.org/officeDocument/2006/relationships" r:id="rId2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00"/>
  <sheetViews>
    <sheetView workbookViewId="0">
      <selection activeCell="B14" sqref="B14"/>
    </sheetView>
  </sheetViews>
  <sheetFormatPr baseColWidth="8" defaultRowHeight="13.8"/>
  <cols>
    <col width="5.8984375" customWidth="1" min="1" max="1"/>
    <col width="24" customWidth="1" min="2" max="2"/>
    <col width="8.69921875" customWidth="1" min="3" max="3"/>
    <col width="12" customWidth="1" min="4" max="4"/>
    <col width="10.59765625" customWidth="1" min="5" max="5"/>
    <col width="8.3984375" customWidth="1" min="6" max="6"/>
    <col width="5" customWidth="1" min="7" max="7"/>
    <col width="7.8984375" customWidth="1" min="8" max="8"/>
    <col width="16.3984375" customWidth="1" min="9" max="9"/>
    <col width="11.5" customWidth="1" min="10" max="10"/>
    <col width="36" customWidth="1" min="11" max="12"/>
  </cols>
  <sheetData>
    <row r="1" ht="12" customHeight="1">
      <c r="A1" s="1" t="inlineStr">
        <is>
          <t>전표ID</t>
        </is>
      </c>
      <c r="B1" s="1" t="inlineStr">
        <is>
          <t>품목명</t>
        </is>
      </c>
      <c r="C1" s="1" t="inlineStr">
        <is>
          <t>결과Scope</t>
        </is>
      </c>
      <c r="D1" s="1" t="inlineStr">
        <is>
          <t>결과연료</t>
        </is>
      </c>
      <c r="E1" s="1" t="inlineStr">
        <is>
          <t>공급가액</t>
        </is>
      </c>
      <c r="F1" s="1" t="inlineStr">
        <is>
          <t>활동량</t>
        </is>
      </c>
      <c r="G1" s="1" t="inlineStr">
        <is>
          <t>단위</t>
        </is>
      </c>
      <c r="H1" s="1" t="inlineStr">
        <is>
          <t>배출계수</t>
        </is>
      </c>
      <c r="I1" s="1" t="inlineStr">
        <is>
          <t>예상배출량_kgCO2e</t>
        </is>
      </c>
      <c r="J1" s="1" t="inlineStr">
        <is>
          <t>사람검토필요</t>
        </is>
      </c>
      <c r="K1" s="1" t="inlineStr">
        <is>
          <t>결과근거</t>
        </is>
      </c>
      <c r="L1" s="13" t="inlineStr">
        <is>
          <t>뱉어야 하는 핵심 결과</t>
        </is>
      </c>
    </row>
    <row r="2" ht="12" customHeight="1">
      <c r="A2" s="3">
        <f>전표_샘플!A2</f>
        <v/>
      </c>
      <c r="B2" s="3">
        <f>전표_샘플!E2</f>
        <v/>
      </c>
      <c r="C2" s="3">
        <f>전표_샘플!K2</f>
        <v/>
      </c>
      <c r="D2" s="3">
        <f>전표_샘플!M2</f>
        <v/>
      </c>
      <c r="E2" s="20">
        <f>전표_샘플!F2</f>
        <v/>
      </c>
      <c r="F2" s="20">
        <f>전표_샘플!I2</f>
        <v/>
      </c>
      <c r="G2" s="20">
        <f>전표_샘플!J2</f>
        <v/>
      </c>
      <c r="H2" s="20">
        <f>IFERROR(VLOOKUP(D2,배출계수!$A:$D,4,FALSE),"")</f>
        <v/>
      </c>
      <c r="I2" s="20">
        <f>IF(OR(F2="",H2=""),"",F2*H2)</f>
        <v/>
      </c>
      <c r="J2" s="3">
        <f>전표_샘플!Q2</f>
        <v/>
      </c>
      <c r="K2" s="3">
        <f>전표_샘플!R2</f>
        <v/>
      </c>
      <c r="L2" s="3">
        <f>IF(J2="TRUE","사람검토필요로 넘김",IF(C2="제외","탄소 산정 제외",C2&amp;" / "&amp;D2&amp;" / "&amp;TEXT(I2,"0.0")&amp;" kgCO2e"))</f>
        <v/>
      </c>
    </row>
    <row r="3" ht="12" customHeight="1">
      <c r="A3" s="3">
        <f>전표_샘플!A3</f>
        <v/>
      </c>
      <c r="B3" s="3">
        <f>전표_샘플!E3</f>
        <v/>
      </c>
      <c r="C3" s="3">
        <f>전표_샘플!K3</f>
        <v/>
      </c>
      <c r="D3" s="3">
        <f>전표_샘플!M3</f>
        <v/>
      </c>
      <c r="E3" s="20">
        <f>전표_샘플!F3</f>
        <v/>
      </c>
      <c r="F3" s="20">
        <f>전표_샘플!I3</f>
        <v/>
      </c>
      <c r="G3" s="20">
        <f>전표_샘플!J3</f>
        <v/>
      </c>
      <c r="H3" s="20">
        <f>IFERROR(VLOOKUP(D3,배출계수!$A:$D,4,FALSE),"")</f>
        <v/>
      </c>
      <c r="I3" s="20">
        <f>IF(OR(F3="",H3=""),"",F3*H3)</f>
        <v/>
      </c>
      <c r="J3" s="3">
        <f>전표_샘플!Q3</f>
        <v/>
      </c>
      <c r="K3" s="3">
        <f>전표_샘플!R3</f>
        <v/>
      </c>
      <c r="L3" s="3">
        <f>IF(J3="TRUE","사람검토필요로 넘김",IF(C3="제외","탄소 산정 제외",C3&amp;" / "&amp;D3&amp;" / "&amp;TEXT(I3,"0.0")&amp;" kgCO2e"))</f>
        <v/>
      </c>
    </row>
    <row r="4" ht="12" customHeight="1">
      <c r="A4" s="3">
        <f>전표_샘플!A4</f>
        <v/>
      </c>
      <c r="B4" s="3">
        <f>전표_샘플!E4</f>
        <v/>
      </c>
      <c r="C4" s="3">
        <f>전표_샘플!K4</f>
        <v/>
      </c>
      <c r="D4" s="3">
        <f>전표_샘플!M4</f>
        <v/>
      </c>
      <c r="E4" s="20">
        <f>전표_샘플!F4</f>
        <v/>
      </c>
      <c r="F4" s="20">
        <f>전표_샘플!I4</f>
        <v/>
      </c>
      <c r="G4" s="20">
        <f>전표_샘플!J4</f>
        <v/>
      </c>
      <c r="H4" s="20">
        <f>IFERROR(VLOOKUP(D4,배출계수!$A:$D,4,FALSE),"")</f>
        <v/>
      </c>
      <c r="I4" s="20">
        <f>IF(OR(F4="",H4=""),"",F4*H4)</f>
        <v/>
      </c>
      <c r="J4" s="3">
        <f>전표_샘플!Q4</f>
        <v/>
      </c>
      <c r="K4" s="3">
        <f>전표_샘플!R4</f>
        <v/>
      </c>
      <c r="L4" s="3">
        <f>IF(J4="TRUE","사람검토필요로 넘김",IF(C4="제외","탄소 산정 제외",C4&amp;" / "&amp;D4&amp;" / "&amp;TEXT(I4,"0.0")&amp;" kgCO2e"))</f>
        <v/>
      </c>
    </row>
    <row r="5" ht="12" customHeight="1">
      <c r="A5" s="3">
        <f>전표_샘플!A5</f>
        <v/>
      </c>
      <c r="B5" s="3">
        <f>전표_샘플!E5</f>
        <v/>
      </c>
      <c r="C5" s="3">
        <f>전표_샘플!K5</f>
        <v/>
      </c>
      <c r="D5" s="3">
        <f>전표_샘플!M5</f>
        <v/>
      </c>
      <c r="E5" s="20">
        <f>전표_샘플!F5</f>
        <v/>
      </c>
      <c r="F5" s="20">
        <f>전표_샘플!I5</f>
        <v/>
      </c>
      <c r="G5" s="20">
        <f>전표_샘플!J5</f>
        <v/>
      </c>
      <c r="H5" s="20">
        <f>IFERROR(VLOOKUP(D5,배출계수!$A:$D,4,FALSE),"")</f>
        <v/>
      </c>
      <c r="I5" s="20">
        <f>IF(OR(F5="",H5=""),"",F5*H5)</f>
        <v/>
      </c>
      <c r="J5" s="3">
        <f>전표_샘플!Q5</f>
        <v/>
      </c>
      <c r="K5" s="3">
        <f>전표_샘플!R5</f>
        <v/>
      </c>
      <c r="L5" s="3">
        <f>IF(J5="TRUE","사람검토필요로 넘김",IF(C5="제외","탄소 산정 제외",C5&amp;" / "&amp;D5&amp;" / "&amp;TEXT(I5,"0.0")&amp;" kgCO2e"))</f>
        <v/>
      </c>
    </row>
    <row r="6" ht="12" customHeight="1">
      <c r="A6" s="3">
        <f>전표_샘플!A6</f>
        <v/>
      </c>
      <c r="B6" s="3">
        <f>전표_샘플!E6</f>
        <v/>
      </c>
      <c r="C6" s="3">
        <f>전표_샘플!K6</f>
        <v/>
      </c>
      <c r="D6" s="3">
        <f>전표_샘플!M6</f>
        <v/>
      </c>
      <c r="E6" s="20">
        <f>전표_샘플!F6</f>
        <v/>
      </c>
      <c r="F6" s="20">
        <f>전표_샘플!I6</f>
        <v/>
      </c>
      <c r="G6" s="20">
        <f>전표_샘플!J6</f>
        <v/>
      </c>
      <c r="H6" s="20">
        <f>IFERROR(VLOOKUP(D6,배출계수!$A:$D,4,FALSE),"")</f>
        <v/>
      </c>
      <c r="I6" s="20">
        <f>IF(OR(F6="",H6=""),"",F6*H6)</f>
        <v/>
      </c>
      <c r="J6" s="3">
        <f>전표_샘플!Q6</f>
        <v/>
      </c>
      <c r="K6" s="3">
        <f>전표_샘플!R6</f>
        <v/>
      </c>
      <c r="L6" s="3">
        <f>IF(J6="TRUE","사람검토필요로 넘김",IF(C6="제외","탄소 산정 제외",C6&amp;" / "&amp;D6&amp;" / "&amp;TEXT(I6,"0.0")&amp;" kgCO2e"))</f>
        <v/>
      </c>
    </row>
    <row r="7" ht="12" customHeight="1">
      <c r="A7" s="3">
        <f>전표_샘플!A7</f>
        <v/>
      </c>
      <c r="B7" s="3">
        <f>전표_샘플!E7</f>
        <v/>
      </c>
      <c r="C7" s="3">
        <f>전표_샘플!K7</f>
        <v/>
      </c>
      <c r="D7" s="3">
        <f>전표_샘플!M7</f>
        <v/>
      </c>
      <c r="E7" s="20">
        <f>전표_샘플!F7</f>
        <v/>
      </c>
      <c r="F7" s="20">
        <f>전표_샘플!I7</f>
        <v/>
      </c>
      <c r="G7" s="20">
        <f>전표_샘플!J7</f>
        <v/>
      </c>
      <c r="H7" s="20">
        <f>IFERROR(VLOOKUP(D7,배출계수!$A:$D,4,FALSE),"")</f>
        <v/>
      </c>
      <c r="I7" s="20">
        <f>IF(OR(F7="",H7=""),"",F7*H7)</f>
        <v/>
      </c>
      <c r="J7" s="3">
        <f>전표_샘플!Q7</f>
        <v/>
      </c>
      <c r="K7" s="3">
        <f>전표_샘플!R7</f>
        <v/>
      </c>
      <c r="L7" s="3">
        <f>IF(J7="TRUE","사람검토필요로 넘김",IF(C7="제외","탄소 산정 제외",C7&amp;" / "&amp;D7&amp;" / "&amp;TEXT(I7,"0.0")&amp;" kgCO2e"))</f>
        <v/>
      </c>
    </row>
    <row r="8" ht="12" customHeight="1">
      <c r="A8" s="3">
        <f>전표_샘플!A8</f>
        <v/>
      </c>
      <c r="B8" s="3">
        <f>전표_샘플!E8</f>
        <v/>
      </c>
      <c r="C8" s="3">
        <f>전표_샘플!K8</f>
        <v/>
      </c>
      <c r="D8" s="3">
        <f>전표_샘플!M8</f>
        <v/>
      </c>
      <c r="E8" s="20">
        <f>전표_샘플!F8</f>
        <v/>
      </c>
      <c r="F8" s="20">
        <f>전표_샘플!I8</f>
        <v/>
      </c>
      <c r="G8" s="20">
        <f>전표_샘플!J8</f>
        <v/>
      </c>
      <c r="H8" s="20">
        <f>IFERROR(VLOOKUP(D8,배출계수!$A:$D,4,FALSE),"")</f>
        <v/>
      </c>
      <c r="I8" s="20">
        <f>IF(OR(F8="",H8=""),"",F8*H8)</f>
        <v/>
      </c>
      <c r="J8" s="3">
        <f>전표_샘플!Q8</f>
        <v/>
      </c>
      <c r="K8" s="3">
        <f>전표_샘플!R8</f>
        <v/>
      </c>
      <c r="L8" s="3">
        <f>IF(J8="TRUE","사람검토필요로 넘김",IF(C8="제외","탄소 산정 제외",C8&amp;" / "&amp;D8&amp;" / "&amp;TEXT(I8,"0.0")&amp;" kgCO2e"))</f>
        <v/>
      </c>
    </row>
    <row r="9" ht="12" customHeight="1">
      <c r="A9" s="3">
        <f>전표_샘플!A9</f>
        <v/>
      </c>
      <c r="B9" s="3">
        <f>전표_샘플!E9</f>
        <v/>
      </c>
      <c r="C9" s="3">
        <f>전표_샘플!K9</f>
        <v/>
      </c>
      <c r="D9" s="3">
        <f>전표_샘플!M9</f>
        <v/>
      </c>
      <c r="E9" s="20">
        <f>전표_샘플!F9</f>
        <v/>
      </c>
      <c r="F9" s="20">
        <f>전표_샘플!I9</f>
        <v/>
      </c>
      <c r="G9" s="20">
        <f>전표_샘플!J9</f>
        <v/>
      </c>
      <c r="H9" s="20">
        <f>IFERROR(VLOOKUP(D9,배출계수!$A:$D,4,FALSE),"")</f>
        <v/>
      </c>
      <c r="I9" s="20">
        <f>IF(OR(F9="",H9=""),"",F9*H9)</f>
        <v/>
      </c>
      <c r="J9" s="3">
        <f>전표_샘플!Q9</f>
        <v/>
      </c>
      <c r="K9" s="3">
        <f>전표_샘플!R9</f>
        <v/>
      </c>
      <c r="L9" s="3">
        <f>IF(J9="TRUE","사람검토필요로 넘김",IF(C9="제외","탄소 산정 제외",C9&amp;" / "&amp;D9&amp;" / "&amp;TEXT(I9,"0.0")&amp;" kgCO2e"))</f>
        <v/>
      </c>
    </row>
    <row r="10" ht="12" customHeight="1">
      <c r="A10" s="3">
        <f>전표_샘플!A10</f>
        <v/>
      </c>
      <c r="B10" s="3">
        <f>전표_샘플!E10</f>
        <v/>
      </c>
      <c r="C10" s="3">
        <f>전표_샘플!K10</f>
        <v/>
      </c>
      <c r="D10" s="3">
        <f>전표_샘플!M10</f>
        <v/>
      </c>
      <c r="E10" s="20">
        <f>전표_샘플!F10</f>
        <v/>
      </c>
      <c r="F10" s="20">
        <f>전표_샘플!I10</f>
        <v/>
      </c>
      <c r="G10" s="20">
        <f>전표_샘플!J10</f>
        <v/>
      </c>
      <c r="H10" s="20">
        <f>IFERROR(VLOOKUP(D10,배출계수!$A:$D,4,FALSE),"")</f>
        <v/>
      </c>
      <c r="I10" s="20">
        <f>IF(OR(F10="",H10=""),"",F10*H10)</f>
        <v/>
      </c>
      <c r="J10" s="3">
        <f>전표_샘플!Q10</f>
        <v/>
      </c>
      <c r="K10" s="3">
        <f>전표_샘플!R10</f>
        <v/>
      </c>
      <c r="L10" s="3">
        <f>IF(J10="TRUE","사람검토필요로 넘김",IF(C10="제외","탄소 산정 제외",C10&amp;" / "&amp;D10&amp;" / "&amp;TEXT(I10,"0.0")&amp;" kgCO2e"))</f>
        <v/>
      </c>
    </row>
    <row r="11" ht="12" customHeight="1">
      <c r="A11" s="3">
        <f>전표_샘플!A11</f>
        <v/>
      </c>
      <c r="B11" s="3">
        <f>전표_샘플!E11</f>
        <v/>
      </c>
      <c r="C11" s="3">
        <f>전표_샘플!K11</f>
        <v/>
      </c>
      <c r="D11" s="3">
        <f>전표_샘플!M11</f>
        <v/>
      </c>
      <c r="E11" s="20">
        <f>전표_샘플!F11</f>
        <v/>
      </c>
      <c r="F11" s="20">
        <f>전표_샘플!I11</f>
        <v/>
      </c>
      <c r="G11" s="20">
        <f>전표_샘플!J11</f>
        <v/>
      </c>
      <c r="H11" s="20">
        <f>IFERROR(VLOOKUP(D11,배출계수!$A:$D,4,FALSE),"")</f>
        <v/>
      </c>
      <c r="I11" s="20">
        <f>IF(OR(F11="",H11=""),"",F11*H11)</f>
        <v/>
      </c>
      <c r="J11" s="3">
        <f>전표_샘플!Q11</f>
        <v/>
      </c>
      <c r="K11" s="3">
        <f>전표_샘플!R11</f>
        <v/>
      </c>
      <c r="L11" s="3">
        <f>IF(J11="TRUE","사람검토필요로 넘김",IF(C11="제외","탄소 산정 제외",C11&amp;" / "&amp;D11&amp;" / "&amp;TEXT(I11,"0.0")&amp;" kgCO2e"))</f>
        <v/>
      </c>
    </row>
    <row r="12" ht="12" customHeight="1">
      <c r="A12" s="3">
        <f>전표_샘플!A12</f>
        <v/>
      </c>
      <c r="B12" s="3">
        <f>전표_샘플!E12</f>
        <v/>
      </c>
      <c r="C12" s="3">
        <f>전표_샘플!K12</f>
        <v/>
      </c>
      <c r="D12" s="3">
        <f>전표_샘플!M12</f>
        <v/>
      </c>
      <c r="E12" s="20">
        <f>전표_샘플!F12</f>
        <v/>
      </c>
      <c r="F12" s="20">
        <f>전표_샘플!I12</f>
        <v/>
      </c>
      <c r="G12" s="20">
        <f>전표_샘플!J12</f>
        <v/>
      </c>
      <c r="H12" s="20">
        <f>IFERROR(VLOOKUP(D12,배출계수!$A:$D,4,FALSE),"")</f>
        <v/>
      </c>
      <c r="I12" s="20">
        <f>IF(OR(F12="",H12=""),"",F12*H12)</f>
        <v/>
      </c>
      <c r="J12" s="3">
        <f>전표_샘플!Q12</f>
        <v/>
      </c>
      <c r="K12" s="3">
        <f>전표_샘플!R12</f>
        <v/>
      </c>
      <c r="L12" s="3">
        <f>IF(J12="TRUE","사람검토필요로 넘김",IF(C12="제외","탄소 산정 제외",C12&amp;" / "&amp;D12&amp;" / "&amp;TEXT(I12,"0.0")&amp;" kgCO2e"))</f>
        <v/>
      </c>
    </row>
    <row r="13" ht="12" customHeight="1">
      <c r="A13" s="3">
        <f>전표_샘플!A13</f>
        <v/>
      </c>
      <c r="B13" s="3">
        <f>전표_샘플!E13</f>
        <v/>
      </c>
      <c r="C13" s="3">
        <f>전표_샘플!K13</f>
        <v/>
      </c>
      <c r="D13" s="3">
        <f>전표_샘플!M13</f>
        <v/>
      </c>
      <c r="E13" s="20">
        <f>전표_샘플!F13</f>
        <v/>
      </c>
      <c r="F13" s="20">
        <f>전표_샘플!I13</f>
        <v/>
      </c>
      <c r="G13" s="20">
        <f>전표_샘플!J13</f>
        <v/>
      </c>
      <c r="H13" s="20">
        <f>IFERROR(VLOOKUP(D13,배출계수!$A:$D,4,FALSE),"")</f>
        <v/>
      </c>
      <c r="I13" s="20">
        <f>IF(OR(F13="",H13=""),"",F13*H13)</f>
        <v/>
      </c>
      <c r="J13" s="3">
        <f>전표_샘플!Q13</f>
        <v/>
      </c>
      <c r="K13" s="3">
        <f>전표_샘플!R13</f>
        <v/>
      </c>
      <c r="L13" s="3">
        <f>IF(J13="TRUE","사람검토필요로 넘김",IF(C13="제외","탄소 산정 제외",C13&amp;" / "&amp;D13&amp;" / "&amp;TEXT(I13,"0.0")&amp;" kgCO2e"))</f>
        <v/>
      </c>
    </row>
    <row r="14" ht="12" customHeight="1">
      <c r="A14" s="3">
        <f>전표_샘플!A14</f>
        <v/>
      </c>
      <c r="B14" s="3">
        <f>전표_샘플!E14</f>
        <v/>
      </c>
      <c r="C14" s="3">
        <f>전표_샘플!K14</f>
        <v/>
      </c>
      <c r="D14" s="3">
        <f>전표_샘플!M14</f>
        <v/>
      </c>
      <c r="E14" s="20">
        <f>전표_샘플!F14</f>
        <v/>
      </c>
      <c r="F14" s="20">
        <f>전표_샘플!I14</f>
        <v/>
      </c>
      <c r="G14" s="20">
        <f>전표_샘플!J14</f>
        <v/>
      </c>
      <c r="H14" s="20">
        <f>IFERROR(VLOOKUP(D14,배출계수!$A:$D,4,FALSE),"")</f>
        <v/>
      </c>
      <c r="I14" s="20">
        <f>IF(OR(F14="",H14=""),"",F14*H14)</f>
        <v/>
      </c>
      <c r="J14" s="3">
        <f>전표_샘플!Q14</f>
        <v/>
      </c>
      <c r="K14" s="3">
        <f>전표_샘플!R14</f>
        <v/>
      </c>
      <c r="L14" s="3">
        <f>IF(J14="TRUE","사람검토필요로 넘김",IF(C14="제외","탄소 산정 제외",C14&amp;" / "&amp;D14&amp;" / "&amp;TEXT(I14,"0.0")&amp;" kgCO2e"))</f>
        <v/>
      </c>
    </row>
    <row r="15" ht="12" customHeight="1">
      <c r="A15" s="3">
        <f>전표_샘플!A15</f>
        <v/>
      </c>
      <c r="B15" s="3">
        <f>전표_샘플!E15</f>
        <v/>
      </c>
      <c r="C15" s="3">
        <f>전표_샘플!K15</f>
        <v/>
      </c>
      <c r="D15" s="3">
        <f>전표_샘플!M15</f>
        <v/>
      </c>
      <c r="E15" s="20">
        <f>전표_샘플!F15</f>
        <v/>
      </c>
      <c r="F15" s="20">
        <f>전표_샘플!I15</f>
        <v/>
      </c>
      <c r="G15" s="20">
        <f>전표_샘플!J15</f>
        <v/>
      </c>
      <c r="H15" s="20">
        <f>IFERROR(VLOOKUP(D15,배출계수!$A:$D,4,FALSE),"")</f>
        <v/>
      </c>
      <c r="I15" s="20">
        <f>IF(OR(F15="",H15=""),"",F15*H15)</f>
        <v/>
      </c>
      <c r="J15" s="3">
        <f>전표_샘플!Q15</f>
        <v/>
      </c>
      <c r="K15" s="3">
        <f>전표_샘플!R15</f>
        <v/>
      </c>
      <c r="L15" s="3">
        <f>IF(J15="TRUE","사람검토필요로 넘김",IF(C15="제외","탄소 산정 제외",C15&amp;" / "&amp;D15&amp;" / "&amp;TEXT(I15,"0.0")&amp;" kgCO2e"))</f>
        <v/>
      </c>
    </row>
    <row r="16" ht="12" customHeight="1">
      <c r="A16" s="3">
        <f>전표_샘플!A16</f>
        <v/>
      </c>
      <c r="B16" s="3">
        <f>전표_샘플!E16</f>
        <v/>
      </c>
      <c r="C16" s="3">
        <f>전표_샘플!K16</f>
        <v/>
      </c>
      <c r="D16" s="3">
        <f>전표_샘플!M16</f>
        <v/>
      </c>
      <c r="E16" s="20">
        <f>전표_샘플!F16</f>
        <v/>
      </c>
      <c r="F16" s="20">
        <f>전표_샘플!I16</f>
        <v/>
      </c>
      <c r="G16" s="20">
        <f>전표_샘플!J16</f>
        <v/>
      </c>
      <c r="H16" s="20">
        <f>IFERROR(VLOOKUP(D16,배출계수!$A:$D,4,FALSE),"")</f>
        <v/>
      </c>
      <c r="I16" s="20">
        <f>IF(OR(F16="",H16=""),"",F16*H16)</f>
        <v/>
      </c>
      <c r="J16" s="3">
        <f>전표_샘플!Q16</f>
        <v/>
      </c>
      <c r="K16" s="3">
        <f>전표_샘플!R16</f>
        <v/>
      </c>
      <c r="L16" s="3">
        <f>IF(J16="TRUE","사람검토필요로 넘김",IF(C16="제외","탄소 산정 제외",C16&amp;" / "&amp;D16&amp;" / "&amp;TEXT(I16,"0.0")&amp;" kgCO2e"))</f>
        <v/>
      </c>
    </row>
    <row r="17" ht="12" customHeight="1">
      <c r="A17" s="3">
        <f>전표_샘플!A17</f>
        <v/>
      </c>
      <c r="B17" s="3">
        <f>전표_샘플!E17</f>
        <v/>
      </c>
      <c r="C17" s="3">
        <f>전표_샘플!K17</f>
        <v/>
      </c>
      <c r="D17" s="3">
        <f>전표_샘플!M17</f>
        <v/>
      </c>
      <c r="E17" s="20">
        <f>전표_샘플!F17</f>
        <v/>
      </c>
      <c r="F17" s="20">
        <f>전표_샘플!I17</f>
        <v/>
      </c>
      <c r="G17" s="20">
        <f>전표_샘플!J17</f>
        <v/>
      </c>
      <c r="H17" s="20">
        <f>IFERROR(VLOOKUP(D17,배출계수!$A:$D,4,FALSE),"")</f>
        <v/>
      </c>
      <c r="I17" s="20">
        <f>IF(OR(F17="",H17=""),"",F17*H17)</f>
        <v/>
      </c>
      <c r="J17" s="3">
        <f>전표_샘플!Q17</f>
        <v/>
      </c>
      <c r="K17" s="3">
        <f>전표_샘플!R17</f>
        <v/>
      </c>
      <c r="L17" s="3">
        <f>IF(J17="TRUE","사람검토필요로 넘김",IF(C17="제외","탄소 산정 제외",C17&amp;" / "&amp;D17&amp;" / "&amp;TEXT(I17,"0.0")&amp;" kgCO2e"))</f>
        <v/>
      </c>
    </row>
    <row r="18" ht="12" customHeight="1">
      <c r="A18" s="3">
        <f>전표_샘플!A18</f>
        <v/>
      </c>
      <c r="B18" s="3">
        <f>전표_샘플!E18</f>
        <v/>
      </c>
      <c r="C18" s="3">
        <f>전표_샘플!K18</f>
        <v/>
      </c>
      <c r="D18" s="3">
        <f>전표_샘플!M18</f>
        <v/>
      </c>
      <c r="E18" s="20">
        <f>전표_샘플!F18</f>
        <v/>
      </c>
      <c r="F18" s="20">
        <f>전표_샘플!I18</f>
        <v/>
      </c>
      <c r="G18" s="20">
        <f>전표_샘플!J18</f>
        <v/>
      </c>
      <c r="H18" s="20">
        <f>IFERROR(VLOOKUP(D18,배출계수!$A:$D,4,FALSE),"")</f>
        <v/>
      </c>
      <c r="I18" s="20">
        <f>IF(OR(F18="",H18=""),"",F18*H18)</f>
        <v/>
      </c>
      <c r="J18" s="3">
        <f>전표_샘플!Q18</f>
        <v/>
      </c>
      <c r="K18" s="3">
        <f>전표_샘플!R18</f>
        <v/>
      </c>
      <c r="L18" s="3">
        <f>IF(J18="TRUE","사람검토필요로 넘김",IF(C18="제외","탄소 산정 제외",C18&amp;" / "&amp;D18&amp;" / "&amp;TEXT(I18,"0.0")&amp;" kgCO2e"))</f>
        <v/>
      </c>
    </row>
    <row r="19" ht="12" customHeight="1">
      <c r="A19" s="3">
        <f>전표_샘플!A19</f>
        <v/>
      </c>
      <c r="B19" s="3">
        <f>전표_샘플!E19</f>
        <v/>
      </c>
      <c r="C19" s="3">
        <f>전표_샘플!K19</f>
        <v/>
      </c>
      <c r="D19" s="3">
        <f>전표_샘플!M19</f>
        <v/>
      </c>
      <c r="E19" s="20">
        <f>전표_샘플!F19</f>
        <v/>
      </c>
      <c r="F19" s="20">
        <f>전표_샘플!I19</f>
        <v/>
      </c>
      <c r="G19" s="20">
        <f>전표_샘플!J19</f>
        <v/>
      </c>
      <c r="H19" s="20">
        <f>IFERROR(VLOOKUP(D19,배출계수!$A:$D,4,FALSE),"")</f>
        <v/>
      </c>
      <c r="I19" s="20">
        <f>IF(OR(F19="",H19=""),"",F19*H19)</f>
        <v/>
      </c>
      <c r="J19" s="3">
        <f>전표_샘플!Q19</f>
        <v/>
      </c>
      <c r="K19" s="3">
        <f>전표_샘플!R19</f>
        <v/>
      </c>
      <c r="L19" s="3">
        <f>IF(J19="TRUE","사람검토필요로 넘김",IF(C19="제외","탄소 산정 제외",C19&amp;" / "&amp;D19&amp;" / "&amp;TEXT(I19,"0.0")&amp;" kgCO2e"))</f>
        <v/>
      </c>
    </row>
    <row r="20" ht="12" customHeight="1">
      <c r="A20" s="3">
        <f>전표_샘플!A20</f>
        <v/>
      </c>
      <c r="B20" s="3">
        <f>전표_샘플!E20</f>
        <v/>
      </c>
      <c r="C20" s="3">
        <f>전표_샘플!K20</f>
        <v/>
      </c>
      <c r="D20" s="3">
        <f>전표_샘플!M20</f>
        <v/>
      </c>
      <c r="E20" s="20">
        <f>전표_샘플!F20</f>
        <v/>
      </c>
      <c r="F20" s="20">
        <f>전표_샘플!I20</f>
        <v/>
      </c>
      <c r="G20" s="20">
        <f>전표_샘플!J20</f>
        <v/>
      </c>
      <c r="H20" s="20">
        <f>IFERROR(VLOOKUP(D20,배출계수!$A:$D,4,FALSE),"")</f>
        <v/>
      </c>
      <c r="I20" s="20">
        <f>IF(OR(F20="",H20=""),"",F20*H20)</f>
        <v/>
      </c>
      <c r="J20" s="3">
        <f>전표_샘플!Q20</f>
        <v/>
      </c>
      <c r="K20" s="3">
        <f>전표_샘플!R20</f>
        <v/>
      </c>
      <c r="L20" s="3">
        <f>IF(J20="TRUE","사람검토필요로 넘김",IF(C20="제외","탄소 산정 제외",C20&amp;" / "&amp;D20&amp;" / "&amp;TEXT(I20,"0.0")&amp;" kgCO2e"))</f>
        <v/>
      </c>
    </row>
    <row r="21" ht="12" customHeight="1">
      <c r="A21" s="3">
        <f>전표_샘플!A21</f>
        <v/>
      </c>
      <c r="B21" s="3">
        <f>전표_샘플!E21</f>
        <v/>
      </c>
      <c r="C21" s="3">
        <f>전표_샘플!K21</f>
        <v/>
      </c>
      <c r="D21" s="3">
        <f>전표_샘플!M21</f>
        <v/>
      </c>
      <c r="E21" s="20">
        <f>전표_샘플!F21</f>
        <v/>
      </c>
      <c r="F21" s="20">
        <f>전표_샘플!I21</f>
        <v/>
      </c>
      <c r="G21" s="20">
        <f>전표_샘플!J21</f>
        <v/>
      </c>
      <c r="H21" s="20">
        <f>IFERROR(VLOOKUP(D21,배출계수!$A:$D,4,FALSE),"")</f>
        <v/>
      </c>
      <c r="I21" s="20">
        <f>IF(OR(F21="",H21=""),"",F21*H21)</f>
        <v/>
      </c>
      <c r="J21" s="3">
        <f>전표_샘플!Q21</f>
        <v/>
      </c>
      <c r="K21" s="3">
        <f>전표_샘플!R21</f>
        <v/>
      </c>
      <c r="L21" s="3">
        <f>IF(J21="TRUE","사람검토필요로 넘김",IF(C21="제외","탄소 산정 제외",C21&amp;" / "&amp;D21&amp;" / "&amp;TEXT(I21,"0.0")&amp;" kgCO2e"))</f>
        <v/>
      </c>
    </row>
    <row r="22" ht="12" customHeight="1">
      <c r="A22" s="3">
        <f>전표_샘플!A22</f>
        <v/>
      </c>
      <c r="B22" s="3">
        <f>전표_샘플!E22</f>
        <v/>
      </c>
      <c r="C22" s="3">
        <f>전표_샘플!K22</f>
        <v/>
      </c>
      <c r="D22" s="3">
        <f>전표_샘플!M22</f>
        <v/>
      </c>
      <c r="E22" s="20">
        <f>전표_샘플!F22</f>
        <v/>
      </c>
      <c r="F22" s="20">
        <f>전표_샘플!I22</f>
        <v/>
      </c>
      <c r="G22" s="20">
        <f>전표_샘플!J22</f>
        <v/>
      </c>
      <c r="H22" s="20">
        <f>IFERROR(VLOOKUP(D22,배출계수!$A:$D,4,FALSE),"")</f>
        <v/>
      </c>
      <c r="I22" s="20">
        <f>IF(OR(F22="",H22=""),"",F22*H22)</f>
        <v/>
      </c>
      <c r="J22" s="3">
        <f>전표_샘플!Q22</f>
        <v/>
      </c>
      <c r="K22" s="3">
        <f>전표_샘플!R22</f>
        <v/>
      </c>
      <c r="L22" s="3">
        <f>IF(J22="TRUE","사람검토필요로 넘김",IF(C22="제외","탄소 산정 제외",C22&amp;" / "&amp;D22&amp;" / "&amp;TEXT(I22,"0.0")&amp;" kgCO2e"))</f>
        <v/>
      </c>
    </row>
    <row r="23" ht="12" customHeight="1">
      <c r="A23" s="3">
        <f>전표_샘플!A23</f>
        <v/>
      </c>
      <c r="B23" s="3">
        <f>전표_샘플!E23</f>
        <v/>
      </c>
      <c r="C23" s="3">
        <f>전표_샘플!K23</f>
        <v/>
      </c>
      <c r="D23" s="3">
        <f>전표_샘플!M23</f>
        <v/>
      </c>
      <c r="E23" s="20">
        <f>전표_샘플!F23</f>
        <v/>
      </c>
      <c r="F23" s="20">
        <f>전표_샘플!I23</f>
        <v/>
      </c>
      <c r="G23" s="20">
        <f>전표_샘플!J23</f>
        <v/>
      </c>
      <c r="H23" s="20">
        <f>IFERROR(VLOOKUP(D23,배출계수!$A:$D,4,FALSE),"")</f>
        <v/>
      </c>
      <c r="I23" s="20">
        <f>IF(OR(F23="",H23=""),"",F23*H23)</f>
        <v/>
      </c>
      <c r="J23" s="3">
        <f>전표_샘플!Q23</f>
        <v/>
      </c>
      <c r="K23" s="3">
        <f>전표_샘플!R23</f>
        <v/>
      </c>
      <c r="L23" s="3">
        <f>IF(J23="TRUE","사람검토필요로 넘김",IF(C23="제외","탄소 산정 제외",C23&amp;" / "&amp;D23&amp;" / "&amp;TEXT(I23,"0.0")&amp;" kgCO2e"))</f>
        <v/>
      </c>
    </row>
    <row r="24" ht="12" customHeight="1">
      <c r="A24" s="3">
        <f>전표_샘플!A24</f>
        <v/>
      </c>
      <c r="B24" s="3">
        <f>전표_샘플!E24</f>
        <v/>
      </c>
      <c r="C24" s="3">
        <f>전표_샘플!K24</f>
        <v/>
      </c>
      <c r="D24" s="3">
        <f>전표_샘플!M24</f>
        <v/>
      </c>
      <c r="E24" s="20">
        <f>전표_샘플!F24</f>
        <v/>
      </c>
      <c r="F24" s="20">
        <f>전표_샘플!I24</f>
        <v/>
      </c>
      <c r="G24" s="20">
        <f>전표_샘플!J24</f>
        <v/>
      </c>
      <c r="H24" s="20">
        <f>IFERROR(VLOOKUP(D24,배출계수!$A:$D,4,FALSE),"")</f>
        <v/>
      </c>
      <c r="I24" s="20">
        <f>IF(OR(F24="",H24=""),"",F24*H24)</f>
        <v/>
      </c>
      <c r="J24" s="3">
        <f>전표_샘플!Q24</f>
        <v/>
      </c>
      <c r="K24" s="3">
        <f>전표_샘플!R24</f>
        <v/>
      </c>
      <c r="L24" s="3">
        <f>IF(J24="TRUE","사람검토필요로 넘김",IF(C24="제외","탄소 산정 제외",C24&amp;" / "&amp;D24&amp;" / "&amp;TEXT(I24,"0.0")&amp;" kgCO2e"))</f>
        <v/>
      </c>
    </row>
    <row r="25" ht="12" customHeight="1">
      <c r="A25" s="3">
        <f>전표_샘플!A25</f>
        <v/>
      </c>
      <c r="B25" s="3">
        <f>전표_샘플!E25</f>
        <v/>
      </c>
      <c r="C25" s="3">
        <f>전표_샘플!K25</f>
        <v/>
      </c>
      <c r="D25" s="3">
        <f>전표_샘플!M25</f>
        <v/>
      </c>
      <c r="E25" s="20">
        <f>전표_샘플!F25</f>
        <v/>
      </c>
      <c r="F25" s="20">
        <f>전표_샘플!I25</f>
        <v/>
      </c>
      <c r="G25" s="20">
        <f>전표_샘플!J25</f>
        <v/>
      </c>
      <c r="H25" s="20">
        <f>IFERROR(VLOOKUP(D25,배출계수!$A:$D,4,FALSE),"")</f>
        <v/>
      </c>
      <c r="I25" s="20">
        <f>IF(OR(F25="",H25=""),"",F25*H25)</f>
        <v/>
      </c>
      <c r="J25" s="3">
        <f>전표_샘플!Q25</f>
        <v/>
      </c>
      <c r="K25" s="3">
        <f>전표_샘플!R25</f>
        <v/>
      </c>
      <c r="L25" s="3">
        <f>IF(J25="TRUE","사람검토필요로 넘김",IF(C25="제외","탄소 산정 제외",C25&amp;" / "&amp;D25&amp;" / "&amp;TEXT(I25,"0.0")&amp;" kgCO2e"))</f>
        <v/>
      </c>
    </row>
    <row r="26" ht="12" customHeight="1">
      <c r="A26" s="3">
        <f>전표_샘플!A26</f>
        <v/>
      </c>
      <c r="B26" s="3">
        <f>전표_샘플!E26</f>
        <v/>
      </c>
      <c r="C26" s="3">
        <f>전표_샘플!K26</f>
        <v/>
      </c>
      <c r="D26" s="3">
        <f>전표_샘플!M26</f>
        <v/>
      </c>
      <c r="E26" s="20">
        <f>전표_샘플!F26</f>
        <v/>
      </c>
      <c r="F26" s="20">
        <f>전표_샘플!I26</f>
        <v/>
      </c>
      <c r="G26" s="20">
        <f>전표_샘플!J26</f>
        <v/>
      </c>
      <c r="H26" s="20">
        <f>IFERROR(VLOOKUP(D26,배출계수!$A:$D,4,FALSE),"")</f>
        <v/>
      </c>
      <c r="I26" s="20">
        <f>IF(OR(F26="",H26=""),"",F26*H26)</f>
        <v/>
      </c>
      <c r="J26" s="3">
        <f>전표_샘플!Q26</f>
        <v/>
      </c>
      <c r="K26" s="3">
        <f>전표_샘플!R26</f>
        <v/>
      </c>
      <c r="L26" s="3">
        <f>IF(J26="TRUE","사람검토필요로 넘김",IF(C26="제외","탄소 산정 제외",C26&amp;" / "&amp;D26&amp;" / "&amp;TEXT(I26,"0.0")&amp;" kgCO2e"))</f>
        <v/>
      </c>
    </row>
    <row r="27" ht="12" customHeight="1">
      <c r="A27" s="3">
        <f>전표_샘플!A27</f>
        <v/>
      </c>
      <c r="B27" s="3">
        <f>전표_샘플!E27</f>
        <v/>
      </c>
      <c r="C27" s="3">
        <f>전표_샘플!K27</f>
        <v/>
      </c>
      <c r="D27" s="3">
        <f>전표_샘플!M27</f>
        <v/>
      </c>
      <c r="E27" s="20">
        <f>전표_샘플!F27</f>
        <v/>
      </c>
      <c r="F27" s="20">
        <f>전표_샘플!I27</f>
        <v/>
      </c>
      <c r="G27" s="20">
        <f>전표_샘플!J27</f>
        <v/>
      </c>
      <c r="H27" s="20">
        <f>IFERROR(VLOOKUP(D27,배출계수!$A:$D,4,FALSE),"")</f>
        <v/>
      </c>
      <c r="I27" s="20">
        <f>IF(OR(F27="",H27=""),"",F27*H27)</f>
        <v/>
      </c>
      <c r="J27" s="3">
        <f>전표_샘플!Q27</f>
        <v/>
      </c>
      <c r="K27" s="3">
        <f>전표_샘플!R27</f>
        <v/>
      </c>
      <c r="L27" s="3">
        <f>IF(J27="TRUE","사람검토필요로 넘김",IF(C27="제외","탄소 산정 제외",C27&amp;" / "&amp;D27&amp;" / "&amp;TEXT(I27,"0.0")&amp;" kgCO2e"))</f>
        <v/>
      </c>
    </row>
    <row r="28" ht="12" customHeight="1">
      <c r="A28" s="3">
        <f>전표_샘플!A28</f>
        <v/>
      </c>
      <c r="B28" s="3">
        <f>전표_샘플!E28</f>
        <v/>
      </c>
      <c r="C28" s="3">
        <f>전표_샘플!K28</f>
        <v/>
      </c>
      <c r="D28" s="3">
        <f>전표_샘플!M28</f>
        <v/>
      </c>
      <c r="E28" s="20">
        <f>전표_샘플!F28</f>
        <v/>
      </c>
      <c r="F28" s="20">
        <f>전표_샘플!I28</f>
        <v/>
      </c>
      <c r="G28" s="20">
        <f>전표_샘플!J28</f>
        <v/>
      </c>
      <c r="H28" s="20">
        <f>IFERROR(VLOOKUP(D28,배출계수!$A:$D,4,FALSE),"")</f>
        <v/>
      </c>
      <c r="I28" s="20">
        <f>IF(OR(F28="",H28=""),"",F28*H28)</f>
        <v/>
      </c>
      <c r="J28" s="3">
        <f>전표_샘플!Q28</f>
        <v/>
      </c>
      <c r="K28" s="3">
        <f>전표_샘플!R28</f>
        <v/>
      </c>
      <c r="L28" s="3">
        <f>IF(J28="TRUE","사람검토필요로 넘김",IF(C28="제외","탄소 산정 제외",C28&amp;" / "&amp;D28&amp;" / "&amp;TEXT(I28,"0.0")&amp;" kgCO2e"))</f>
        <v/>
      </c>
    </row>
    <row r="29" ht="12" customHeight="1">
      <c r="A29" s="3">
        <f>전표_샘플!A29</f>
        <v/>
      </c>
      <c r="B29" s="3">
        <f>전표_샘플!E29</f>
        <v/>
      </c>
      <c r="C29" s="3">
        <f>전표_샘플!K29</f>
        <v/>
      </c>
      <c r="D29" s="3">
        <f>전표_샘플!M29</f>
        <v/>
      </c>
      <c r="E29" s="20">
        <f>전표_샘플!F29</f>
        <v/>
      </c>
      <c r="F29" s="20">
        <f>전표_샘플!I29</f>
        <v/>
      </c>
      <c r="G29" s="20">
        <f>전표_샘플!J29</f>
        <v/>
      </c>
      <c r="H29" s="20">
        <f>IFERROR(VLOOKUP(D29,배출계수!$A:$D,4,FALSE),"")</f>
        <v/>
      </c>
      <c r="I29" s="20">
        <f>IF(OR(F29="",H29=""),"",F29*H29)</f>
        <v/>
      </c>
      <c r="J29" s="3">
        <f>전표_샘플!Q29</f>
        <v/>
      </c>
      <c r="K29" s="3">
        <f>전표_샘플!R29</f>
        <v/>
      </c>
      <c r="L29" s="3">
        <f>IF(J29="TRUE","사람검토필요로 넘김",IF(C29="제외","탄소 산정 제외",C29&amp;" / "&amp;D29&amp;" / "&amp;TEXT(I29,"0.0")&amp;" kgCO2e"))</f>
        <v/>
      </c>
    </row>
    <row r="30" ht="12" customHeight="1">
      <c r="A30" s="3">
        <f>전표_샘플!A30</f>
        <v/>
      </c>
      <c r="B30" s="3">
        <f>전표_샘플!E30</f>
        <v/>
      </c>
      <c r="C30" s="3">
        <f>전표_샘플!K30</f>
        <v/>
      </c>
      <c r="D30" s="3">
        <f>전표_샘플!M30</f>
        <v/>
      </c>
      <c r="E30" s="20">
        <f>전표_샘플!F30</f>
        <v/>
      </c>
      <c r="F30" s="20">
        <f>전표_샘플!I30</f>
        <v/>
      </c>
      <c r="G30" s="20">
        <f>전표_샘플!J30</f>
        <v/>
      </c>
      <c r="H30" s="20">
        <f>IFERROR(VLOOKUP(D30,배출계수!$A:$D,4,FALSE),"")</f>
        <v/>
      </c>
      <c r="I30" s="20">
        <f>IF(OR(F30="",H30=""),"",F30*H30)</f>
        <v/>
      </c>
      <c r="J30" s="3">
        <f>전표_샘플!Q30</f>
        <v/>
      </c>
      <c r="K30" s="3">
        <f>전표_샘플!R30</f>
        <v/>
      </c>
      <c r="L30" s="3">
        <f>IF(J30="TRUE","사람검토필요로 넘김",IF(C30="제외","탄소 산정 제외",C30&amp;" / "&amp;D30&amp;" / "&amp;TEXT(I30,"0.0")&amp;" kgCO2e"))</f>
        <v/>
      </c>
    </row>
    <row r="31" ht="12" customHeight="1">
      <c r="A31" s="3">
        <f>전표_샘플!A31</f>
        <v/>
      </c>
      <c r="B31" s="3">
        <f>전표_샘플!E31</f>
        <v/>
      </c>
      <c r="C31" s="3">
        <f>전표_샘플!K31</f>
        <v/>
      </c>
      <c r="D31" s="3">
        <f>전표_샘플!M31</f>
        <v/>
      </c>
      <c r="E31" s="20">
        <f>전표_샘플!F31</f>
        <v/>
      </c>
      <c r="F31" s="20">
        <f>전표_샘플!I31</f>
        <v/>
      </c>
      <c r="G31" s="20">
        <f>전표_샘플!J31</f>
        <v/>
      </c>
      <c r="H31" s="20">
        <f>IFERROR(VLOOKUP(D31,배출계수!$A:$D,4,FALSE),"")</f>
        <v/>
      </c>
      <c r="I31" s="20">
        <f>IF(OR(F31="",H31=""),"",F31*H31)</f>
        <v/>
      </c>
      <c r="J31" s="3">
        <f>전표_샘플!Q31</f>
        <v/>
      </c>
      <c r="K31" s="3">
        <f>전표_샘플!R31</f>
        <v/>
      </c>
      <c r="L31" s="3">
        <f>IF(J31="TRUE","사람검토필요로 넘김",IF(C31="제외","탄소 산정 제외",C31&amp;" / "&amp;D31&amp;" / "&amp;TEXT(I31,"0.0")&amp;" kgCO2e"))</f>
        <v/>
      </c>
    </row>
    <row r="32" ht="12" customHeight="1">
      <c r="A32" s="3">
        <f>전표_샘플!A32</f>
        <v/>
      </c>
      <c r="B32" s="3">
        <f>전표_샘플!E32</f>
        <v/>
      </c>
      <c r="C32" s="3">
        <f>전표_샘플!K32</f>
        <v/>
      </c>
      <c r="D32" s="3">
        <f>전표_샘플!M32</f>
        <v/>
      </c>
      <c r="E32" s="20">
        <f>전표_샘플!F32</f>
        <v/>
      </c>
      <c r="F32" s="20">
        <f>전표_샘플!I32</f>
        <v/>
      </c>
      <c r="G32" s="20">
        <f>전표_샘플!J32</f>
        <v/>
      </c>
      <c r="H32" s="20">
        <f>IFERROR(VLOOKUP(D32,배출계수!$A:$D,4,FALSE),"")</f>
        <v/>
      </c>
      <c r="I32" s="20">
        <f>IF(OR(F32="",H32=""),"",F32*H32)</f>
        <v/>
      </c>
      <c r="J32" s="3">
        <f>전표_샘플!Q32</f>
        <v/>
      </c>
      <c r="K32" s="3">
        <f>전표_샘플!R32</f>
        <v/>
      </c>
      <c r="L32" s="3">
        <f>IF(J32="TRUE","사람검토필요로 넘김",IF(C32="제외","탄소 산정 제외",C32&amp;" / "&amp;D32&amp;" / "&amp;TEXT(I32,"0.0")&amp;" kgCO2e"))</f>
        <v/>
      </c>
    </row>
    <row r="33" ht="12" customHeight="1">
      <c r="A33" s="3">
        <f>전표_샘플!A33</f>
        <v/>
      </c>
      <c r="B33" s="3">
        <f>전표_샘플!E33</f>
        <v/>
      </c>
      <c r="C33" s="3">
        <f>전표_샘플!K33</f>
        <v/>
      </c>
      <c r="D33" s="3">
        <f>전표_샘플!M33</f>
        <v/>
      </c>
      <c r="E33" s="20">
        <f>전표_샘플!F33</f>
        <v/>
      </c>
      <c r="F33" s="20">
        <f>전표_샘플!I33</f>
        <v/>
      </c>
      <c r="G33" s="20">
        <f>전표_샘플!J33</f>
        <v/>
      </c>
      <c r="H33" s="20">
        <f>IFERROR(VLOOKUP(D33,배출계수!$A:$D,4,FALSE),"")</f>
        <v/>
      </c>
      <c r="I33" s="20">
        <f>IF(OR(F33="",H33=""),"",F33*H33)</f>
        <v/>
      </c>
      <c r="J33" s="3">
        <f>전표_샘플!Q33</f>
        <v/>
      </c>
      <c r="K33" s="3">
        <f>전표_샘플!R33</f>
        <v/>
      </c>
      <c r="L33" s="3">
        <f>IF(J33="TRUE","사람검토필요로 넘김",IF(C33="제외","탄소 산정 제외",C33&amp;" / "&amp;D33&amp;" / "&amp;TEXT(I33,"0.0")&amp;" kgCO2e"))</f>
        <v/>
      </c>
    </row>
    <row r="34" ht="12" customHeight="1">
      <c r="A34" s="3">
        <f>전표_샘플!A34</f>
        <v/>
      </c>
      <c r="B34" s="3">
        <f>전표_샘플!E34</f>
        <v/>
      </c>
      <c r="C34" s="3">
        <f>전표_샘플!K34</f>
        <v/>
      </c>
      <c r="D34" s="3">
        <f>전표_샘플!M34</f>
        <v/>
      </c>
      <c r="E34" s="20">
        <f>전표_샘플!F34</f>
        <v/>
      </c>
      <c r="F34" s="20">
        <f>전표_샘플!I34</f>
        <v/>
      </c>
      <c r="G34" s="20">
        <f>전표_샘플!J34</f>
        <v/>
      </c>
      <c r="H34" s="20">
        <f>IFERROR(VLOOKUP(D34,배출계수!$A:$D,4,FALSE),"")</f>
        <v/>
      </c>
      <c r="I34" s="20">
        <f>IF(OR(F34="",H34=""),"",F34*H34)</f>
        <v/>
      </c>
      <c r="J34" s="3">
        <f>전표_샘플!Q34</f>
        <v/>
      </c>
      <c r="K34" s="3">
        <f>전표_샘플!R34</f>
        <v/>
      </c>
      <c r="L34" s="3">
        <f>IF(J34="TRUE","사람검토필요로 넘김",IF(C34="제외","탄소 산정 제외",C34&amp;" / "&amp;D34&amp;" / "&amp;TEXT(I34,"0.0")&amp;" kgCO2e"))</f>
        <v/>
      </c>
    </row>
    <row r="35" ht="12" customHeight="1">
      <c r="A35" s="3">
        <f>전표_샘플!A35</f>
        <v/>
      </c>
      <c r="B35" s="3">
        <f>전표_샘플!E35</f>
        <v/>
      </c>
      <c r="C35" s="3">
        <f>전표_샘플!K35</f>
        <v/>
      </c>
      <c r="D35" s="3">
        <f>전표_샘플!M35</f>
        <v/>
      </c>
      <c r="E35" s="20">
        <f>전표_샘플!F35</f>
        <v/>
      </c>
      <c r="F35" s="20">
        <f>전표_샘플!I35</f>
        <v/>
      </c>
      <c r="G35" s="20">
        <f>전표_샘플!J35</f>
        <v/>
      </c>
      <c r="H35" s="20">
        <f>IFERROR(VLOOKUP(D35,배출계수!$A:$D,4,FALSE),"")</f>
        <v/>
      </c>
      <c r="I35" s="20">
        <f>IF(OR(F35="",H35=""),"",F35*H35)</f>
        <v/>
      </c>
      <c r="J35" s="3">
        <f>전표_샘플!Q35</f>
        <v/>
      </c>
      <c r="K35" s="3">
        <f>전표_샘플!R35</f>
        <v/>
      </c>
      <c r="L35" s="3">
        <f>IF(J35="TRUE","사람검토필요로 넘김",IF(C35="제외","탄소 산정 제외",C35&amp;" / "&amp;D35&amp;" / "&amp;TEXT(I35,"0.0")&amp;" kgCO2e"))</f>
        <v/>
      </c>
    </row>
    <row r="36" ht="12" customHeight="1">
      <c r="A36" s="3">
        <f>전표_샘플!A36</f>
        <v/>
      </c>
      <c r="B36" s="3">
        <f>전표_샘플!E36</f>
        <v/>
      </c>
      <c r="C36" s="3">
        <f>전표_샘플!K36</f>
        <v/>
      </c>
      <c r="D36" s="3">
        <f>전표_샘플!M36</f>
        <v/>
      </c>
      <c r="E36" s="20">
        <f>전표_샘플!F36</f>
        <v/>
      </c>
      <c r="F36" s="20">
        <f>전표_샘플!I36</f>
        <v/>
      </c>
      <c r="G36" s="20">
        <f>전표_샘플!J36</f>
        <v/>
      </c>
      <c r="H36" s="20">
        <f>IFERROR(VLOOKUP(D36,배출계수!$A:$D,4,FALSE),"")</f>
        <v/>
      </c>
      <c r="I36" s="20">
        <f>IF(OR(F36="",H36=""),"",F36*H36)</f>
        <v/>
      </c>
      <c r="J36" s="3">
        <f>전표_샘플!Q36</f>
        <v/>
      </c>
      <c r="K36" s="3">
        <f>전표_샘플!R36</f>
        <v/>
      </c>
      <c r="L36" s="3">
        <f>IF(J36="TRUE","사람검토필요로 넘김",IF(C36="제외","탄소 산정 제외",C36&amp;" / "&amp;D36&amp;" / "&amp;TEXT(I36,"0.0")&amp;" kgCO2e"))</f>
        <v/>
      </c>
    </row>
    <row r="37" ht="12" customHeight="1">
      <c r="A37" s="3">
        <f>전표_샘플!A37</f>
        <v/>
      </c>
      <c r="B37" s="3">
        <f>전표_샘플!E37</f>
        <v/>
      </c>
      <c r="C37" s="3">
        <f>전표_샘플!K37</f>
        <v/>
      </c>
      <c r="D37" s="3">
        <f>전표_샘플!M37</f>
        <v/>
      </c>
      <c r="E37" s="20">
        <f>전표_샘플!F37</f>
        <v/>
      </c>
      <c r="F37" s="20">
        <f>전표_샘플!I37</f>
        <v/>
      </c>
      <c r="G37" s="20">
        <f>전표_샘플!J37</f>
        <v/>
      </c>
      <c r="H37" s="20">
        <f>IFERROR(VLOOKUP(D37,배출계수!$A:$D,4,FALSE),"")</f>
        <v/>
      </c>
      <c r="I37" s="20">
        <f>IF(OR(F37="",H37=""),"",F37*H37)</f>
        <v/>
      </c>
      <c r="J37" s="3">
        <f>전표_샘플!Q37</f>
        <v/>
      </c>
      <c r="K37" s="3">
        <f>전표_샘플!R37</f>
        <v/>
      </c>
      <c r="L37" s="3">
        <f>IF(J37="TRUE","사람검토필요로 넘김",IF(C37="제외","탄소 산정 제외",C37&amp;" / "&amp;D37&amp;" / "&amp;TEXT(I37,"0.0")&amp;" kgCO2e"))</f>
        <v/>
      </c>
    </row>
    <row r="38" ht="12" customHeight="1">
      <c r="A38" s="3">
        <f>전표_샘플!A38</f>
        <v/>
      </c>
      <c r="B38" s="3">
        <f>전표_샘플!E38</f>
        <v/>
      </c>
      <c r="C38" s="3">
        <f>전표_샘플!K38</f>
        <v/>
      </c>
      <c r="D38" s="3">
        <f>전표_샘플!M38</f>
        <v/>
      </c>
      <c r="E38" s="20">
        <f>전표_샘플!F38</f>
        <v/>
      </c>
      <c r="F38" s="20">
        <f>전표_샘플!I38</f>
        <v/>
      </c>
      <c r="G38" s="20">
        <f>전표_샘플!J38</f>
        <v/>
      </c>
      <c r="H38" s="20">
        <f>IFERROR(VLOOKUP(D38,배출계수!$A:$D,4,FALSE),"")</f>
        <v/>
      </c>
      <c r="I38" s="20">
        <f>IF(OR(F38="",H38=""),"",F38*H38)</f>
        <v/>
      </c>
      <c r="J38" s="3">
        <f>전표_샘플!Q38</f>
        <v/>
      </c>
      <c r="K38" s="3">
        <f>전표_샘플!R38</f>
        <v/>
      </c>
      <c r="L38" s="3">
        <f>IF(J38="TRUE","사람검토필요로 넘김",IF(C38="제외","탄소 산정 제외",C38&amp;" / "&amp;D38&amp;" / "&amp;TEXT(I38,"0.0")&amp;" kgCO2e"))</f>
        <v/>
      </c>
    </row>
    <row r="39" ht="12" customHeight="1">
      <c r="A39" s="3">
        <f>전표_샘플!A39</f>
        <v/>
      </c>
      <c r="B39" s="3">
        <f>전표_샘플!E39</f>
        <v/>
      </c>
      <c r="C39" s="3">
        <f>전표_샘플!K39</f>
        <v/>
      </c>
      <c r="D39" s="3">
        <f>전표_샘플!M39</f>
        <v/>
      </c>
      <c r="E39" s="20">
        <f>전표_샘플!F39</f>
        <v/>
      </c>
      <c r="F39" s="20">
        <f>전표_샘플!I39</f>
        <v/>
      </c>
      <c r="G39" s="20">
        <f>전표_샘플!J39</f>
        <v/>
      </c>
      <c r="H39" s="20">
        <f>IFERROR(VLOOKUP(D39,배출계수!$A:$D,4,FALSE),"")</f>
        <v/>
      </c>
      <c r="I39" s="20">
        <f>IF(OR(F39="",H39=""),"",F39*H39)</f>
        <v/>
      </c>
      <c r="J39" s="3">
        <f>전표_샘플!Q39</f>
        <v/>
      </c>
      <c r="K39" s="3">
        <f>전표_샘플!R39</f>
        <v/>
      </c>
      <c r="L39" s="3">
        <f>IF(J39="TRUE","사람검토필요로 넘김",IF(C39="제외","탄소 산정 제외",C39&amp;" / "&amp;D39&amp;" / "&amp;TEXT(I39,"0.0")&amp;" kgCO2e"))</f>
        <v/>
      </c>
    </row>
    <row r="40" ht="12" customHeight="1">
      <c r="A40" s="3">
        <f>전표_샘플!A40</f>
        <v/>
      </c>
      <c r="B40" s="3">
        <f>전표_샘플!E40</f>
        <v/>
      </c>
      <c r="C40" s="3">
        <f>전표_샘플!K40</f>
        <v/>
      </c>
      <c r="D40" s="3">
        <f>전표_샘플!M40</f>
        <v/>
      </c>
      <c r="E40" s="20">
        <f>전표_샘플!F40</f>
        <v/>
      </c>
      <c r="F40" s="20">
        <f>전표_샘플!I40</f>
        <v/>
      </c>
      <c r="G40" s="20">
        <f>전표_샘플!J40</f>
        <v/>
      </c>
      <c r="H40" s="20">
        <f>IFERROR(VLOOKUP(D40,배출계수!$A:$D,4,FALSE),"")</f>
        <v/>
      </c>
      <c r="I40" s="20">
        <f>IF(OR(F40="",H40=""),"",F40*H40)</f>
        <v/>
      </c>
      <c r="J40" s="3">
        <f>전표_샘플!Q40</f>
        <v/>
      </c>
      <c r="K40" s="3">
        <f>전표_샘플!R40</f>
        <v/>
      </c>
      <c r="L40" s="3">
        <f>IF(J40="TRUE","사람검토필요로 넘김",IF(C40="제외","탄소 산정 제외",C40&amp;" / "&amp;D40&amp;" / "&amp;TEXT(I40,"0.0")&amp;" kgCO2e"))</f>
        <v/>
      </c>
    </row>
    <row r="41" ht="12" customHeight="1">
      <c r="A41" s="3">
        <f>전표_샘플!A41</f>
        <v/>
      </c>
      <c r="B41" s="3">
        <f>전표_샘플!E41</f>
        <v/>
      </c>
      <c r="C41" s="3">
        <f>전표_샘플!K41</f>
        <v/>
      </c>
      <c r="D41" s="3">
        <f>전표_샘플!M41</f>
        <v/>
      </c>
      <c r="E41" s="20">
        <f>전표_샘플!F41</f>
        <v/>
      </c>
      <c r="F41" s="20">
        <f>전표_샘플!I41</f>
        <v/>
      </c>
      <c r="G41" s="20">
        <f>전표_샘플!J41</f>
        <v/>
      </c>
      <c r="H41" s="20">
        <f>IFERROR(VLOOKUP(D41,배출계수!$A:$D,4,FALSE),"")</f>
        <v/>
      </c>
      <c r="I41" s="20">
        <f>IF(OR(F41="",H41=""),"",F41*H41)</f>
        <v/>
      </c>
      <c r="J41" s="3">
        <f>전표_샘플!Q41</f>
        <v/>
      </c>
      <c r="K41" s="3">
        <f>전표_샘플!R41</f>
        <v/>
      </c>
      <c r="L41" s="3">
        <f>IF(J41="TRUE","사람검토필요로 넘김",IF(C41="제외","탄소 산정 제외",C41&amp;" / "&amp;D41&amp;" / "&amp;TEXT(I41,"0.0")&amp;" kgCO2e"))</f>
        <v/>
      </c>
    </row>
    <row r="42">
      <c r="E42" s="22" t="n"/>
      <c r="F42" s="22" t="n"/>
      <c r="G42" s="22" t="n"/>
      <c r="H42" s="22" t="n"/>
      <c r="I42" s="22" t="n"/>
    </row>
    <row r="43">
      <c r="E43" s="22" t="n"/>
      <c r="F43" s="22" t="n"/>
      <c r="G43" s="22" t="n"/>
      <c r="H43" s="22" t="n"/>
      <c r="I43" s="22" t="n"/>
    </row>
    <row r="44">
      <c r="E44" s="22" t="n"/>
      <c r="F44" s="22" t="n"/>
      <c r="G44" s="22" t="n"/>
      <c r="H44" s="22" t="n"/>
      <c r="I44" s="22" t="n"/>
    </row>
    <row r="45">
      <c r="E45" s="22" t="n"/>
      <c r="F45" s="22" t="n"/>
      <c r="G45" s="22" t="n"/>
      <c r="H45" s="22" t="n"/>
      <c r="I45" s="22" t="n"/>
    </row>
    <row r="46">
      <c r="E46" s="22" t="n"/>
      <c r="F46" s="22" t="n"/>
      <c r="G46" s="22" t="n"/>
      <c r="H46" s="22" t="n"/>
      <c r="I46" s="22" t="n"/>
    </row>
    <row r="47">
      <c r="E47" s="22" t="n"/>
      <c r="F47" s="22" t="n"/>
      <c r="G47" s="22" t="n"/>
      <c r="H47" s="22" t="n"/>
      <c r="I47" s="22" t="n"/>
    </row>
    <row r="48">
      <c r="E48" s="22" t="n"/>
      <c r="F48" s="22" t="n"/>
      <c r="G48" s="22" t="n"/>
      <c r="H48" s="22" t="n"/>
      <c r="I48" s="22" t="n"/>
    </row>
    <row r="49">
      <c r="E49" s="22" t="n"/>
      <c r="F49" s="22" t="n"/>
      <c r="G49" s="22" t="n"/>
      <c r="H49" s="22" t="n"/>
      <c r="I49" s="22" t="n"/>
    </row>
    <row r="50">
      <c r="E50" s="22" t="n"/>
      <c r="F50" s="22" t="n"/>
      <c r="G50" s="22" t="n"/>
      <c r="H50" s="22" t="n"/>
      <c r="I50" s="22" t="n"/>
    </row>
    <row r="51">
      <c r="E51" s="22" t="n"/>
      <c r="F51" s="22" t="n"/>
      <c r="G51" s="22" t="n"/>
      <c r="H51" s="22" t="n"/>
      <c r="I51" s="22" t="n"/>
    </row>
    <row r="52">
      <c r="E52" s="22" t="n"/>
      <c r="F52" s="22" t="n"/>
      <c r="G52" s="22" t="n"/>
      <c r="H52" s="22" t="n"/>
      <c r="I52" s="22" t="n"/>
    </row>
    <row r="53">
      <c r="E53" s="22" t="n"/>
      <c r="F53" s="22" t="n"/>
      <c r="G53" s="22" t="n"/>
      <c r="H53" s="22" t="n"/>
      <c r="I53" s="22" t="n"/>
    </row>
    <row r="54">
      <c r="E54" s="22" t="n"/>
      <c r="F54" s="22" t="n"/>
      <c r="G54" s="22" t="n"/>
      <c r="H54" s="22" t="n"/>
      <c r="I54" s="22" t="n"/>
    </row>
    <row r="55">
      <c r="E55" s="22" t="n"/>
      <c r="F55" s="22" t="n"/>
      <c r="G55" s="22" t="n"/>
      <c r="H55" s="22" t="n"/>
      <c r="I55" s="22" t="n"/>
    </row>
    <row r="56">
      <c r="E56" s="22" t="n"/>
      <c r="F56" s="22" t="n"/>
      <c r="G56" s="22" t="n"/>
      <c r="H56" s="22" t="n"/>
      <c r="I56" s="22" t="n"/>
    </row>
    <row r="57">
      <c r="E57" s="22" t="n"/>
      <c r="F57" s="22" t="n"/>
      <c r="G57" s="22" t="n"/>
      <c r="H57" s="22" t="n"/>
      <c r="I57" s="22" t="n"/>
    </row>
    <row r="58">
      <c r="E58" s="22" t="n"/>
      <c r="F58" s="22" t="n"/>
      <c r="G58" s="22" t="n"/>
      <c r="H58" s="22" t="n"/>
      <c r="I58" s="22" t="n"/>
    </row>
    <row r="59">
      <c r="E59" s="22" t="n"/>
      <c r="F59" s="22" t="n"/>
      <c r="G59" s="22" t="n"/>
      <c r="H59" s="22" t="n"/>
      <c r="I59" s="22" t="n"/>
    </row>
    <row r="60">
      <c r="E60" s="22" t="n"/>
      <c r="F60" s="22" t="n"/>
      <c r="G60" s="22" t="n"/>
      <c r="H60" s="22" t="n"/>
      <c r="I60" s="22" t="n"/>
    </row>
    <row r="61">
      <c r="E61" s="22" t="n"/>
      <c r="F61" s="22" t="n"/>
      <c r="G61" s="22" t="n"/>
      <c r="H61" s="22" t="n"/>
      <c r="I61" s="22" t="n"/>
    </row>
    <row r="62">
      <c r="E62" s="22" t="n"/>
      <c r="F62" s="22" t="n"/>
      <c r="G62" s="22" t="n"/>
      <c r="H62" s="22" t="n"/>
      <c r="I62" s="22" t="n"/>
    </row>
    <row r="63">
      <c r="E63" s="22" t="n"/>
      <c r="F63" s="22" t="n"/>
      <c r="G63" s="22" t="n"/>
      <c r="H63" s="22" t="n"/>
      <c r="I63" s="22" t="n"/>
    </row>
    <row r="64">
      <c r="E64" s="22" t="n"/>
      <c r="F64" s="22" t="n"/>
      <c r="G64" s="22" t="n"/>
      <c r="H64" s="22" t="n"/>
      <c r="I64" s="22" t="n"/>
    </row>
    <row r="65">
      <c r="E65" s="22" t="n"/>
      <c r="F65" s="22" t="n"/>
      <c r="G65" s="22" t="n"/>
      <c r="H65" s="22" t="n"/>
      <c r="I65" s="22" t="n"/>
    </row>
    <row r="66">
      <c r="E66" s="22" t="n"/>
      <c r="F66" s="22" t="n"/>
      <c r="G66" s="22" t="n"/>
      <c r="H66" s="22" t="n"/>
      <c r="I66" s="22" t="n"/>
    </row>
    <row r="67">
      <c r="E67" s="22" t="n"/>
      <c r="F67" s="22" t="n"/>
      <c r="G67" s="22" t="n"/>
      <c r="H67" s="22" t="n"/>
      <c r="I67" s="22" t="n"/>
    </row>
    <row r="68">
      <c r="E68" s="22" t="n"/>
      <c r="F68" s="22" t="n"/>
      <c r="G68" s="22" t="n"/>
      <c r="H68" s="22" t="n"/>
      <c r="I68" s="22" t="n"/>
    </row>
    <row r="69">
      <c r="E69" s="22" t="n"/>
      <c r="F69" s="22" t="n"/>
      <c r="G69" s="22" t="n"/>
      <c r="H69" s="22" t="n"/>
      <c r="I69" s="22" t="n"/>
    </row>
    <row r="70">
      <c r="E70" s="22" t="n"/>
      <c r="F70" s="22" t="n"/>
      <c r="G70" s="22" t="n"/>
      <c r="H70" s="22" t="n"/>
      <c r="I70" s="22" t="n"/>
    </row>
    <row r="71">
      <c r="E71" s="22" t="n"/>
      <c r="F71" s="22" t="n"/>
      <c r="G71" s="22" t="n"/>
      <c r="H71" s="22" t="n"/>
      <c r="I71" s="22" t="n"/>
    </row>
    <row r="72">
      <c r="E72" s="22" t="n"/>
      <c r="F72" s="22" t="n"/>
      <c r="G72" s="22" t="n"/>
      <c r="H72" s="22" t="n"/>
      <c r="I72" s="22" t="n"/>
    </row>
    <row r="73">
      <c r="E73" s="22" t="n"/>
      <c r="F73" s="22" t="n"/>
      <c r="G73" s="22" t="n"/>
      <c r="H73" s="22" t="n"/>
      <c r="I73" s="22" t="n"/>
    </row>
    <row r="74">
      <c r="E74" s="22" t="n"/>
      <c r="F74" s="22" t="n"/>
      <c r="G74" s="22" t="n"/>
      <c r="H74" s="22" t="n"/>
      <c r="I74" s="22" t="n"/>
    </row>
    <row r="75">
      <c r="E75" s="22" t="n"/>
      <c r="F75" s="22" t="n"/>
      <c r="G75" s="22" t="n"/>
      <c r="H75" s="22" t="n"/>
      <c r="I75" s="22" t="n"/>
    </row>
    <row r="76">
      <c r="E76" s="22" t="n"/>
      <c r="F76" s="22" t="n"/>
      <c r="G76" s="22" t="n"/>
      <c r="H76" s="22" t="n"/>
      <c r="I76" s="22" t="n"/>
    </row>
    <row r="77">
      <c r="E77" s="22" t="n"/>
      <c r="F77" s="22" t="n"/>
      <c r="G77" s="22" t="n"/>
      <c r="H77" s="22" t="n"/>
      <c r="I77" s="22" t="n"/>
    </row>
    <row r="78">
      <c r="E78" s="22" t="n"/>
      <c r="F78" s="22" t="n"/>
      <c r="G78" s="22" t="n"/>
      <c r="H78" s="22" t="n"/>
      <c r="I78" s="22" t="n"/>
    </row>
    <row r="79">
      <c r="E79" s="22" t="n"/>
      <c r="F79" s="22" t="n"/>
      <c r="G79" s="22" t="n"/>
      <c r="H79" s="22" t="n"/>
      <c r="I79" s="22" t="n"/>
    </row>
    <row r="80">
      <c r="E80" s="22" t="n"/>
      <c r="F80" s="22" t="n"/>
      <c r="G80" s="22" t="n"/>
      <c r="H80" s="22" t="n"/>
      <c r="I80" s="22" t="n"/>
    </row>
    <row r="81">
      <c r="E81" s="22" t="n"/>
      <c r="F81" s="22" t="n"/>
      <c r="G81" s="22" t="n"/>
      <c r="H81" s="22" t="n"/>
      <c r="I81" s="22" t="n"/>
    </row>
    <row r="82">
      <c r="E82" s="22" t="n"/>
      <c r="F82" s="22" t="n"/>
      <c r="G82" s="22" t="n"/>
      <c r="H82" s="22" t="n"/>
      <c r="I82" s="22" t="n"/>
    </row>
    <row r="83">
      <c r="E83" s="22" t="n"/>
      <c r="F83" s="22" t="n"/>
      <c r="G83" s="22" t="n"/>
      <c r="H83" s="22" t="n"/>
      <c r="I83" s="22" t="n"/>
    </row>
    <row r="84">
      <c r="E84" s="22" t="n"/>
      <c r="F84" s="22" t="n"/>
      <c r="G84" s="22" t="n"/>
      <c r="H84" s="22" t="n"/>
      <c r="I84" s="22" t="n"/>
    </row>
    <row r="85">
      <c r="E85" s="22" t="n"/>
      <c r="F85" s="22" t="n"/>
      <c r="G85" s="22" t="n"/>
      <c r="H85" s="22" t="n"/>
      <c r="I85" s="22" t="n"/>
    </row>
    <row r="86">
      <c r="E86" s="22" t="n"/>
      <c r="F86" s="22" t="n"/>
      <c r="G86" s="22" t="n"/>
      <c r="H86" s="22" t="n"/>
      <c r="I86" s="22" t="n"/>
    </row>
    <row r="87">
      <c r="E87" s="22" t="n"/>
      <c r="F87" s="22" t="n"/>
      <c r="G87" s="22" t="n"/>
      <c r="H87" s="22" t="n"/>
      <c r="I87" s="22" t="n"/>
    </row>
    <row r="88">
      <c r="E88" s="22" t="n"/>
      <c r="F88" s="22" t="n"/>
      <c r="G88" s="22" t="n"/>
      <c r="H88" s="22" t="n"/>
      <c r="I88" s="22" t="n"/>
    </row>
    <row r="89">
      <c r="E89" s="22" t="n"/>
      <c r="F89" s="22" t="n"/>
      <c r="G89" s="22" t="n"/>
      <c r="H89" s="22" t="n"/>
      <c r="I89" s="22" t="n"/>
    </row>
    <row r="90">
      <c r="E90" s="22" t="n"/>
      <c r="F90" s="22" t="n"/>
      <c r="G90" s="22" t="n"/>
      <c r="H90" s="22" t="n"/>
      <c r="I90" s="22" t="n"/>
    </row>
    <row r="91">
      <c r="E91" s="22" t="n"/>
      <c r="F91" s="22" t="n"/>
      <c r="G91" s="22" t="n"/>
      <c r="H91" s="22" t="n"/>
      <c r="I91" s="22" t="n"/>
    </row>
    <row r="92">
      <c r="E92" s="22" t="n"/>
      <c r="F92" s="22" t="n"/>
      <c r="G92" s="22" t="n"/>
      <c r="H92" s="22" t="n"/>
      <c r="I92" s="22" t="n"/>
    </row>
    <row r="93">
      <c r="E93" s="22" t="n"/>
      <c r="F93" s="22" t="n"/>
      <c r="G93" s="22" t="n"/>
      <c r="H93" s="22" t="n"/>
      <c r="I93" s="22" t="n"/>
    </row>
    <row r="94">
      <c r="E94" s="22" t="n"/>
      <c r="F94" s="22" t="n"/>
      <c r="G94" s="22" t="n"/>
      <c r="H94" s="22" t="n"/>
      <c r="I94" s="22" t="n"/>
    </row>
    <row r="95">
      <c r="E95" s="22" t="n"/>
      <c r="F95" s="22" t="n"/>
      <c r="G95" s="22" t="n"/>
      <c r="H95" s="22" t="n"/>
      <c r="I95" s="22" t="n"/>
    </row>
    <row r="96">
      <c r="E96" s="22" t="n"/>
      <c r="F96" s="22" t="n"/>
      <c r="G96" s="22" t="n"/>
      <c r="H96" s="22" t="n"/>
      <c r="I96" s="22" t="n"/>
    </row>
    <row r="97">
      <c r="E97" s="22" t="n"/>
      <c r="F97" s="22" t="n"/>
      <c r="G97" s="22" t="n"/>
      <c r="H97" s="22" t="n"/>
      <c r="I97" s="22" t="n"/>
    </row>
    <row r="98">
      <c r="E98" s="22" t="n"/>
      <c r="F98" s="22" t="n"/>
      <c r="G98" s="22" t="n"/>
      <c r="H98" s="22" t="n"/>
      <c r="I98" s="22" t="n"/>
    </row>
    <row r="99">
      <c r="E99" s="22" t="n"/>
      <c r="F99" s="22" t="n"/>
      <c r="G99" s="22" t="n"/>
      <c r="H99" s="22" t="n"/>
      <c r="I99" s="22" t="n"/>
    </row>
    <row r="100">
      <c r="E100" s="22" t="n"/>
      <c r="F100" s="22" t="n"/>
      <c r="G100" s="22" t="n"/>
      <c r="H100" s="22" t="n"/>
      <c r="I100" s="22" t="n"/>
    </row>
  </sheetData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연료</t>
        </is>
      </c>
      <c r="B1" t="inlineStr">
        <is>
          <t>연</t>
        </is>
      </c>
      <c r="C1" t="inlineStr">
        <is>
          <t>월</t>
        </is>
      </c>
      <c r="D1" t="inlineStr">
        <is>
          <t>단가</t>
        </is>
      </c>
      <c r="E1" t="inlineStr">
        <is>
          <t>단위</t>
        </is>
      </c>
      <c r="F1" t="inlineStr">
        <is>
          <t>출처</t>
        </is>
      </c>
    </row>
    <row r="2">
      <c r="A2" t="inlineStr">
        <is>
          <t>경유</t>
        </is>
      </c>
      <c r="B2" t="n">
        <v>2024</v>
      </c>
      <c r="C2" t="n">
        <v>1</v>
      </c>
      <c r="D2" t="n">
        <v>1720</v>
      </c>
      <c r="E2" t="inlineStr">
        <is>
          <t>L</t>
        </is>
      </c>
      <c r="F2" t="inlineStr">
        <is>
          <t>한국석유공사 오피넷 (추정)</t>
        </is>
      </c>
    </row>
    <row r="3">
      <c r="A3" t="inlineStr">
        <is>
          <t>경유</t>
        </is>
      </c>
      <c r="B3" t="n">
        <v>2024</v>
      </c>
      <c r="C3" t="n">
        <v>2</v>
      </c>
      <c r="D3" t="n">
        <v>1690</v>
      </c>
      <c r="E3" t="inlineStr">
        <is>
          <t>L</t>
        </is>
      </c>
      <c r="F3" t="inlineStr">
        <is>
          <t>한국석유공사 오피넷 (추정)</t>
        </is>
      </c>
    </row>
    <row r="4">
      <c r="A4" t="inlineStr">
        <is>
          <t>경유</t>
        </is>
      </c>
      <c r="B4" t="n">
        <v>2024</v>
      </c>
      <c r="C4" t="n">
        <v>3</v>
      </c>
      <c r="D4" t="n">
        <v>1680</v>
      </c>
      <c r="E4" t="inlineStr">
        <is>
          <t>L</t>
        </is>
      </c>
      <c r="F4" t="inlineStr">
        <is>
          <t>한국석유공사 오피넷 (추정)</t>
        </is>
      </c>
    </row>
    <row r="5">
      <c r="A5" t="inlineStr">
        <is>
          <t>경유</t>
        </is>
      </c>
      <c r="B5" t="n">
        <v>2024</v>
      </c>
      <c r="C5" t="n">
        <v>4</v>
      </c>
      <c r="D5" t="n">
        <v>1700</v>
      </c>
      <c r="E5" t="inlineStr">
        <is>
          <t>L</t>
        </is>
      </c>
      <c r="F5" t="inlineStr">
        <is>
          <t>한국석유공사 오피넷 (추정)</t>
        </is>
      </c>
    </row>
    <row r="6">
      <c r="A6" t="inlineStr">
        <is>
          <t>경유</t>
        </is>
      </c>
      <c r="B6" t="n">
        <v>2024</v>
      </c>
      <c r="C6" t="n">
        <v>5</v>
      </c>
      <c r="D6" t="n">
        <v>1710</v>
      </c>
      <c r="E6" t="inlineStr">
        <is>
          <t>L</t>
        </is>
      </c>
      <c r="F6" t="inlineStr">
        <is>
          <t>한국석유공사 오피넷 (추정)</t>
        </is>
      </c>
    </row>
    <row r="7">
      <c r="A7" t="inlineStr">
        <is>
          <t>경유</t>
        </is>
      </c>
      <c r="B7" t="n">
        <v>2024</v>
      </c>
      <c r="C7" t="n">
        <v>6</v>
      </c>
      <c r="D7" t="n">
        <v>1740</v>
      </c>
      <c r="E7" t="inlineStr">
        <is>
          <t>L</t>
        </is>
      </c>
      <c r="F7" t="inlineStr">
        <is>
          <t>한국석유공사 오피넷 (추정)</t>
        </is>
      </c>
    </row>
    <row r="8">
      <c r="A8" t="inlineStr">
        <is>
          <t>경유</t>
        </is>
      </c>
      <c r="B8" t="n">
        <v>2024</v>
      </c>
      <c r="C8" t="n">
        <v>7</v>
      </c>
      <c r="D8" t="n">
        <v>1760</v>
      </c>
      <c r="E8" t="inlineStr">
        <is>
          <t>L</t>
        </is>
      </c>
      <c r="F8" t="inlineStr">
        <is>
          <t>한국석유공사 오피넷 (추정)</t>
        </is>
      </c>
    </row>
    <row r="9">
      <c r="A9" t="inlineStr">
        <is>
          <t>경유</t>
        </is>
      </c>
      <c r="B9" t="n">
        <v>2024</v>
      </c>
      <c r="C9" t="n">
        <v>8</v>
      </c>
      <c r="D9" t="n">
        <v>1750</v>
      </c>
      <c r="E9" t="inlineStr">
        <is>
          <t>L</t>
        </is>
      </c>
      <c r="F9" t="inlineStr">
        <is>
          <t>한국석유공사 오피넷 (추정)</t>
        </is>
      </c>
    </row>
    <row r="10">
      <c r="A10" t="inlineStr">
        <is>
          <t>경유</t>
        </is>
      </c>
      <c r="B10" t="n">
        <v>2024</v>
      </c>
      <c r="C10" t="n">
        <v>9</v>
      </c>
      <c r="D10" t="n">
        <v>1730</v>
      </c>
      <c r="E10" t="inlineStr">
        <is>
          <t>L</t>
        </is>
      </c>
      <c r="F10" t="inlineStr">
        <is>
          <t>한국석유공사 오피넷 (추정)</t>
        </is>
      </c>
    </row>
    <row r="11">
      <c r="A11" t="inlineStr">
        <is>
          <t>경유</t>
        </is>
      </c>
      <c r="B11" t="n">
        <v>2024</v>
      </c>
      <c r="C11" t="n">
        <v>10</v>
      </c>
      <c r="D11" t="n">
        <v>1720</v>
      </c>
      <c r="E11" t="inlineStr">
        <is>
          <t>L</t>
        </is>
      </c>
      <c r="F11" t="inlineStr">
        <is>
          <t>한국석유공사 오피넷 (추정)</t>
        </is>
      </c>
    </row>
    <row r="12">
      <c r="A12" t="inlineStr">
        <is>
          <t>경유</t>
        </is>
      </c>
      <c r="B12" t="n">
        <v>2024</v>
      </c>
      <c r="C12" t="n">
        <v>11</v>
      </c>
      <c r="D12" t="n">
        <v>1700</v>
      </c>
      <c r="E12" t="inlineStr">
        <is>
          <t>L</t>
        </is>
      </c>
      <c r="F12" t="inlineStr">
        <is>
          <t>한국석유공사 오피넷 (추정)</t>
        </is>
      </c>
    </row>
    <row r="13">
      <c r="A13" t="inlineStr">
        <is>
          <t>경유</t>
        </is>
      </c>
      <c r="B13" t="n">
        <v>2024</v>
      </c>
      <c r="C13" t="n">
        <v>12</v>
      </c>
      <c r="D13" t="n">
        <v>1690</v>
      </c>
      <c r="E13" t="inlineStr">
        <is>
          <t>L</t>
        </is>
      </c>
      <c r="F13" t="inlineStr">
        <is>
          <t>한국석유공사 오피넷 (추정)</t>
        </is>
      </c>
    </row>
    <row r="14">
      <c r="A14" t="inlineStr">
        <is>
          <t>도시가스</t>
        </is>
      </c>
      <c r="B14" t="n">
        <v>2024</v>
      </c>
      <c r="C14" t="n">
        <v>1</v>
      </c>
      <c r="D14" t="n">
        <v>820</v>
      </c>
      <c r="E14" t="inlineStr">
        <is>
          <t>m3</t>
        </is>
      </c>
      <c r="F14" t="inlineStr">
        <is>
          <t>한국가스공사 도매단가 (추정)</t>
        </is>
      </c>
    </row>
    <row r="15">
      <c r="A15" t="inlineStr">
        <is>
          <t>도시가스</t>
        </is>
      </c>
      <c r="B15" t="n">
        <v>2024</v>
      </c>
      <c r="C15" t="n">
        <v>2</v>
      </c>
      <c r="D15" t="n">
        <v>815</v>
      </c>
      <c r="E15" t="inlineStr">
        <is>
          <t>m3</t>
        </is>
      </c>
      <c r="F15" t="inlineStr">
        <is>
          <t>한국가스공사 도매단가 (추정)</t>
        </is>
      </c>
    </row>
    <row r="16">
      <c r="A16" t="inlineStr">
        <is>
          <t>도시가스</t>
        </is>
      </c>
      <c r="B16" t="n">
        <v>2024</v>
      </c>
      <c r="C16" t="n">
        <v>3</v>
      </c>
      <c r="D16" t="n">
        <v>800</v>
      </c>
      <c r="E16" t="inlineStr">
        <is>
          <t>m3</t>
        </is>
      </c>
      <c r="F16" t="inlineStr">
        <is>
          <t>한국가스공사 도매단가 (추정)</t>
        </is>
      </c>
    </row>
    <row r="17">
      <c r="A17" t="inlineStr">
        <is>
          <t>도시가스</t>
        </is>
      </c>
      <c r="B17" t="n">
        <v>2024</v>
      </c>
      <c r="C17" t="n">
        <v>4</v>
      </c>
      <c r="D17" t="n">
        <v>780</v>
      </c>
      <c r="E17" t="inlineStr">
        <is>
          <t>m3</t>
        </is>
      </c>
      <c r="F17" t="inlineStr">
        <is>
          <t>한국가스공사 도매단가 (추정)</t>
        </is>
      </c>
    </row>
    <row r="18">
      <c r="A18" t="inlineStr">
        <is>
          <t>도시가스</t>
        </is>
      </c>
      <c r="B18" t="n">
        <v>2024</v>
      </c>
      <c r="C18" t="n">
        <v>5</v>
      </c>
      <c r="D18" t="n">
        <v>760</v>
      </c>
      <c r="E18" t="inlineStr">
        <is>
          <t>m3</t>
        </is>
      </c>
      <c r="F18" t="inlineStr">
        <is>
          <t>한국가스공사 도매단가 (추정)</t>
        </is>
      </c>
    </row>
    <row r="19">
      <c r="A19" t="inlineStr">
        <is>
          <t>도시가스</t>
        </is>
      </c>
      <c r="B19" t="n">
        <v>2024</v>
      </c>
      <c r="C19" t="n">
        <v>6</v>
      </c>
      <c r="D19" t="n">
        <v>750</v>
      </c>
      <c r="E19" t="inlineStr">
        <is>
          <t>m3</t>
        </is>
      </c>
      <c r="F19" t="inlineStr">
        <is>
          <t>한국가스공사 도매단가 (추정)</t>
        </is>
      </c>
    </row>
    <row r="20">
      <c r="A20" t="inlineStr">
        <is>
          <t>도시가스</t>
        </is>
      </c>
      <c r="B20" t="n">
        <v>2024</v>
      </c>
      <c r="C20" t="n">
        <v>7</v>
      </c>
      <c r="D20" t="n">
        <v>745</v>
      </c>
      <c r="E20" t="inlineStr">
        <is>
          <t>m3</t>
        </is>
      </c>
      <c r="F20" t="inlineStr">
        <is>
          <t>한국가스공사 도매단가 (추정)</t>
        </is>
      </c>
    </row>
    <row r="21">
      <c r="A21" t="inlineStr">
        <is>
          <t>도시가스</t>
        </is>
      </c>
      <c r="B21" t="n">
        <v>2024</v>
      </c>
      <c r="C21" t="n">
        <v>8</v>
      </c>
      <c r="D21" t="n">
        <v>748</v>
      </c>
      <c r="E21" t="inlineStr">
        <is>
          <t>m3</t>
        </is>
      </c>
      <c r="F21" t="inlineStr">
        <is>
          <t>한국가스공사 도매단가 (추정)</t>
        </is>
      </c>
    </row>
    <row r="22">
      <c r="A22" t="inlineStr">
        <is>
          <t>도시가스</t>
        </is>
      </c>
      <c r="B22" t="n">
        <v>2024</v>
      </c>
      <c r="C22" t="n">
        <v>9</v>
      </c>
      <c r="D22" t="n">
        <v>755</v>
      </c>
      <c r="E22" t="inlineStr">
        <is>
          <t>m3</t>
        </is>
      </c>
      <c r="F22" t="inlineStr">
        <is>
          <t>한국가스공사 도매단가 (추정)</t>
        </is>
      </c>
    </row>
    <row r="23">
      <c r="A23" t="inlineStr">
        <is>
          <t>도시가스</t>
        </is>
      </c>
      <c r="B23" t="n">
        <v>2024</v>
      </c>
      <c r="C23" t="n">
        <v>10</v>
      </c>
      <c r="D23" t="n">
        <v>770</v>
      </c>
      <c r="E23" t="inlineStr">
        <is>
          <t>m3</t>
        </is>
      </c>
      <c r="F23" t="inlineStr">
        <is>
          <t>한국가스공사 도매단가 (추정)</t>
        </is>
      </c>
    </row>
    <row r="24">
      <c r="A24" t="inlineStr">
        <is>
          <t>도시가스</t>
        </is>
      </c>
      <c r="B24" t="n">
        <v>2024</v>
      </c>
      <c r="C24" t="n">
        <v>11</v>
      </c>
      <c r="D24" t="n">
        <v>790</v>
      </c>
      <c r="E24" t="inlineStr">
        <is>
          <t>m3</t>
        </is>
      </c>
      <c r="F24" t="inlineStr">
        <is>
          <t>한국가스공사 도매단가 (추정)</t>
        </is>
      </c>
    </row>
    <row r="25">
      <c r="A25" t="inlineStr">
        <is>
          <t>도시가스</t>
        </is>
      </c>
      <c r="B25" t="n">
        <v>2024</v>
      </c>
      <c r="C25" t="n">
        <v>12</v>
      </c>
      <c r="D25" t="n">
        <v>810</v>
      </c>
      <c r="E25" t="inlineStr">
        <is>
          <t>m3</t>
        </is>
      </c>
      <c r="F25" t="inlineStr">
        <is>
          <t>한국가스공사 도매단가 (추정)</t>
        </is>
      </c>
    </row>
    <row r="26">
      <c r="A26" t="inlineStr">
        <is>
          <t>전기</t>
        </is>
      </c>
      <c r="B26" t="n">
        <v>2024</v>
      </c>
      <c r="C26" t="n">
        <v>1</v>
      </c>
      <c r="D26" t="n">
        <v>145</v>
      </c>
      <c r="E26" t="inlineStr">
        <is>
          <t>kWh</t>
        </is>
      </c>
      <c r="F26" t="inlineStr">
        <is>
          <t>한전 산업용(을) 평균 (추정)</t>
        </is>
      </c>
    </row>
    <row r="27">
      <c r="A27" t="inlineStr">
        <is>
          <t>전기</t>
        </is>
      </c>
      <c r="B27" t="n">
        <v>2024</v>
      </c>
      <c r="C27" t="n">
        <v>2</v>
      </c>
      <c r="D27" t="n">
        <v>145</v>
      </c>
      <c r="E27" t="inlineStr">
        <is>
          <t>kWh</t>
        </is>
      </c>
      <c r="F27" t="inlineStr">
        <is>
          <t>한전 산업용(을) 평균 (추정)</t>
        </is>
      </c>
    </row>
    <row r="28">
      <c r="A28" t="inlineStr">
        <is>
          <t>전기</t>
        </is>
      </c>
      <c r="B28" t="n">
        <v>2024</v>
      </c>
      <c r="C28" t="n">
        <v>3</v>
      </c>
      <c r="D28" t="n">
        <v>148</v>
      </c>
      <c r="E28" t="inlineStr">
        <is>
          <t>kWh</t>
        </is>
      </c>
      <c r="F28" t="inlineStr">
        <is>
          <t>한전 산업용(을) 평균 (추정)</t>
        </is>
      </c>
    </row>
    <row r="29">
      <c r="A29" t="inlineStr">
        <is>
          <t>전기</t>
        </is>
      </c>
      <c r="B29" t="n">
        <v>2024</v>
      </c>
      <c r="C29" t="n">
        <v>4</v>
      </c>
      <c r="D29" t="n">
        <v>150</v>
      </c>
      <c r="E29" t="inlineStr">
        <is>
          <t>kWh</t>
        </is>
      </c>
      <c r="F29" t="inlineStr">
        <is>
          <t>한전 산업용(을) 평균 (추정)</t>
        </is>
      </c>
    </row>
    <row r="30">
      <c r="A30" t="inlineStr">
        <is>
          <t>전기</t>
        </is>
      </c>
      <c r="B30" t="n">
        <v>2024</v>
      </c>
      <c r="C30" t="n">
        <v>5</v>
      </c>
      <c r="D30" t="n">
        <v>152</v>
      </c>
      <c r="E30" t="inlineStr">
        <is>
          <t>kWh</t>
        </is>
      </c>
      <c r="F30" t="inlineStr">
        <is>
          <t>한전 산업용(을) 평균 (추정)</t>
        </is>
      </c>
    </row>
    <row r="31">
      <c r="A31" t="inlineStr">
        <is>
          <t>전기</t>
        </is>
      </c>
      <c r="B31" t="n">
        <v>2024</v>
      </c>
      <c r="C31" t="n">
        <v>6</v>
      </c>
      <c r="D31" t="n">
        <v>155</v>
      </c>
      <c r="E31" t="inlineStr">
        <is>
          <t>kWh</t>
        </is>
      </c>
      <c r="F31" t="inlineStr">
        <is>
          <t>한전 산업용(을) 평균 (추정)</t>
        </is>
      </c>
    </row>
    <row r="32">
      <c r="A32" t="inlineStr">
        <is>
          <t>전기</t>
        </is>
      </c>
      <c r="B32" t="n">
        <v>2024</v>
      </c>
      <c r="C32" t="n">
        <v>7</v>
      </c>
      <c r="D32" t="n">
        <v>158</v>
      </c>
      <c r="E32" t="inlineStr">
        <is>
          <t>kWh</t>
        </is>
      </c>
      <c r="F32" t="inlineStr">
        <is>
          <t>한전 산업용(을) 평균 (추정)</t>
        </is>
      </c>
    </row>
    <row r="33">
      <c r="A33" t="inlineStr">
        <is>
          <t>전기</t>
        </is>
      </c>
      <c r="B33" t="n">
        <v>2024</v>
      </c>
      <c r="C33" t="n">
        <v>8</v>
      </c>
      <c r="D33" t="n">
        <v>158</v>
      </c>
      <c r="E33" t="inlineStr">
        <is>
          <t>kWh</t>
        </is>
      </c>
      <c r="F33" t="inlineStr">
        <is>
          <t>한전 산업용(을) 평균 (추정)</t>
        </is>
      </c>
    </row>
    <row r="34">
      <c r="A34" t="inlineStr">
        <is>
          <t>전기</t>
        </is>
      </c>
      <c r="B34" t="n">
        <v>2024</v>
      </c>
      <c r="C34" t="n">
        <v>9</v>
      </c>
      <c r="D34" t="n">
        <v>155</v>
      </c>
      <c r="E34" t="inlineStr">
        <is>
          <t>kWh</t>
        </is>
      </c>
      <c r="F34" t="inlineStr">
        <is>
          <t>한전 산업용(을) 평균 (추정)</t>
        </is>
      </c>
    </row>
    <row r="35">
      <c r="A35" t="inlineStr">
        <is>
          <t>전기</t>
        </is>
      </c>
      <c r="B35" t="n">
        <v>2024</v>
      </c>
      <c r="C35" t="n">
        <v>10</v>
      </c>
      <c r="D35" t="n">
        <v>152</v>
      </c>
      <c r="E35" t="inlineStr">
        <is>
          <t>kWh</t>
        </is>
      </c>
      <c r="F35" t="inlineStr">
        <is>
          <t>한전 산업용(을) 평균 (추정)</t>
        </is>
      </c>
    </row>
    <row r="36">
      <c r="A36" t="inlineStr">
        <is>
          <t>전기</t>
        </is>
      </c>
      <c r="B36" t="n">
        <v>2024</v>
      </c>
      <c r="C36" t="n">
        <v>11</v>
      </c>
      <c r="D36" t="n">
        <v>148</v>
      </c>
      <c r="E36" t="inlineStr">
        <is>
          <t>kWh</t>
        </is>
      </c>
      <c r="F36" t="inlineStr">
        <is>
          <t>한전 산업용(을) 평균 (추정)</t>
        </is>
      </c>
    </row>
    <row r="37">
      <c r="A37" t="inlineStr">
        <is>
          <t>전기</t>
        </is>
      </c>
      <c r="B37" t="n">
        <v>2024</v>
      </c>
      <c r="C37" t="n">
        <v>12</v>
      </c>
      <c r="D37" t="n">
        <v>146</v>
      </c>
      <c r="E37" t="inlineStr">
        <is>
          <t>kWh</t>
        </is>
      </c>
      <c r="F37" t="inlineStr">
        <is>
          <t>한전 산업용(을) 평균 (추정)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jayeong</dc:creator>
  <dcterms:created xsi:type="dcterms:W3CDTF">2026-07-09T16:50:02Z</dcterms:created>
  <dcterms:modified xsi:type="dcterms:W3CDTF">2026-07-12T04:31:33Z</dcterms:modified>
  <cp:lastModifiedBy>장자영</cp:lastModifiedBy>
</cp:coreProperties>
</file>